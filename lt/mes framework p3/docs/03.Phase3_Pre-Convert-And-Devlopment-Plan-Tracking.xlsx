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574" firstSheet="3" activeTab="3" autoFilterDateGrouping="1"/>
  </bookViews>
  <sheets>
    <sheet name="Dashboard" sheetId="1" state="visible" r:id="rId1"/>
    <sheet name="Detailed Plan" sheetId="2" state="visible" r:id="rId2"/>
    <sheet name="Tracking" sheetId="3" state="visible" r:id="rId3"/>
    <sheet name="BizActor List" sheetId="4" state="visible" r:id="rId4"/>
    <sheet name="Data_Requests" sheetId="5" state="visible" r:id="rId5"/>
    <sheet name="Issues_Log" sheetId="6" state="visible" r:id="rId6"/>
  </sheets>
  <definedNames>
    <definedName name="_xlnm._FilterDatabase" localSheetId="1" hidden="1">'Detailed Plan'!$A$1:$O$63</definedName>
    <definedName name="_xlnm._FilterDatabase" localSheetId="2" hidden="1">'Tracking'!$A$1:$U$37</definedName>
    <definedName name="_xlnm._FilterDatabase" localSheetId="3" hidden="1">'BizActor List'!$A$4:$H$4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\-mm\-dd"/>
  </numFmts>
  <fonts count="21">
    <font>
      <name val="Calibri"/>
      <charset val="1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1"/>
    </font>
    <font>
      <name val="Arial"/>
      <charset val="1"/>
      <b val="1"/>
      <color theme="1"/>
      <sz val="10"/>
    </font>
    <font>
      <name val="Arial"/>
      <charset val="1"/>
      <color theme="1"/>
      <sz val="10"/>
    </font>
    <font>
      <name val="Consolas"/>
      <charset val="1"/>
      <color theme="1"/>
      <sz val="9"/>
    </font>
    <font>
      <name val="Arial"/>
      <charset val="1"/>
      <color theme="1"/>
      <sz val="9"/>
    </font>
    <font>
      <name val="Arial"/>
      <charset val="1"/>
      <i val="1"/>
      <color rgb="FF595959"/>
      <sz val="10"/>
    </font>
    <font>
      <name val="Arial"/>
      <color theme="1"/>
      <sz val="10"/>
    </font>
    <font>
      <name val="Arial"/>
      <b val="1"/>
      <color rgb="FFFFFFFF"/>
      <sz val="16"/>
    </font>
    <font>
      <name val="Arial"/>
      <i val="1"/>
      <color rgb="FF595959"/>
      <sz val="10"/>
    </font>
    <font>
      <name val="Arial"/>
      <b val="1"/>
      <color rgb="FFFFFFFF"/>
      <sz val="11"/>
    </font>
    <font>
      <name val="Arial"/>
      <sz val="10"/>
    </font>
    <font>
      <name val="맑은 고딕"/>
      <sz val="10"/>
    </font>
    <font>
      <name val="맑은 고딕"/>
      <b val="1"/>
      <color theme="0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Times New Roman"/>
      <charset val="129"/>
      <color rgb="FF006100"/>
      <sz val="12"/>
    </font>
    <font>
      <name val="Arial"/>
      <color rgb="FF000000"/>
      <sz val="10"/>
    </font>
    <font>
      <name val="Calibri"/>
      <charset val="1"/>
      <sz val="8"/>
    </font>
  </fonts>
  <fills count="30">
    <fill>
      <patternFill/>
    </fill>
    <fill>
      <patternFill patternType="gray125"/>
    </fill>
    <fill>
      <patternFill patternType="solid">
        <fgColor rgb="FF1F4E79"/>
        <bgColor rgb="FF305496"/>
      </patternFill>
    </fill>
    <fill>
      <patternFill patternType="solid">
        <fgColor rgb="FFD9E1F2"/>
        <bgColor rgb="FFE7E6E6"/>
      </patternFill>
    </fill>
    <fill>
      <patternFill patternType="solid">
        <fgColor rgb="FFBFBFBF"/>
        <bgColor rgb="FFB0B0B0"/>
      </patternFill>
    </fill>
    <fill>
      <patternFill patternType="solid">
        <fgColor rgb="FFFFEB9C"/>
        <bgColor rgb="FFFFE699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70AD47"/>
        <bgColor rgb="FF808080"/>
      </patternFill>
    </fill>
    <fill>
      <patternFill patternType="solid">
        <fgColor rgb="FFE7E6E6"/>
        <bgColor rgb="FFE2EFDA"/>
      </patternFill>
    </fill>
    <fill>
      <patternFill patternType="solid">
        <fgColor rgb="FFC6EFCE"/>
        <bgColor rgb="FFC6E0B4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D9E1F2"/>
      </patternFill>
    </fill>
    <fill>
      <patternFill patternType="solid">
        <fgColor rgb="FFEFEFEF"/>
        <bgColor rgb="FFE7E6E6"/>
      </patternFill>
    </fill>
    <fill>
      <patternFill patternType="solid">
        <fgColor rgb="FFFFF8E1"/>
        <bgColor rgb="FFFFF2CC"/>
      </patternFill>
    </fill>
    <fill>
      <patternFill patternType="solid">
        <fgColor rgb="FF305496"/>
        <bgColor rgb="FF1F4E79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1F4E7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808080"/>
      </left>
      <right/>
      <top/>
      <bottom/>
      <diagonal/>
    </border>
    <border>
      <left/>
      <right/>
      <top style="thin">
        <color rgb="FFB0B0B0"/>
      </top>
      <bottom/>
      <diagonal/>
    </border>
  </borders>
  <cellStyleXfs count="3">
    <xf numFmtId="0" fontId="0" fillId="0" borderId="0"/>
    <xf numFmtId="0" fontId="16" fillId="22" borderId="0"/>
    <xf numFmtId="0" fontId="17" fillId="23" borderId="0"/>
  </cellStyleXfs>
  <cellXfs count="134">
    <xf numFmtId="0" fontId="0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165" fontId="0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3" fillId="17" borderId="5" applyAlignment="1" pivotButton="0" quotePrefix="0" xfId="0">
      <alignment wrapText="1"/>
    </xf>
    <xf numFmtId="0" fontId="13" fillId="17" borderId="6" applyAlignment="1" pivotButton="0" quotePrefix="0" xfId="0">
      <alignment wrapText="1"/>
    </xf>
    <xf numFmtId="0" fontId="13" fillId="0" borderId="5" applyAlignment="1" pivotButton="0" quotePrefix="0" xfId="0">
      <alignment wrapText="1"/>
    </xf>
    <xf numFmtId="0" fontId="13" fillId="0" borderId="6" applyAlignment="1" pivotButton="0" quotePrefix="0" xfId="0">
      <alignment wrapText="1"/>
    </xf>
    <xf numFmtId="0" fontId="14" fillId="0" borderId="11" applyAlignment="1" pivotButton="0" quotePrefix="0" xfId="0">
      <alignment wrapText="1"/>
    </xf>
    <xf numFmtId="0" fontId="14" fillId="0" borderId="11" applyAlignment="1" pivotButton="0" quotePrefix="0" xfId="0">
      <alignment horizontal="center" vertical="center" wrapText="1"/>
    </xf>
    <xf numFmtId="0" fontId="15" fillId="19" borderId="7" applyAlignment="1" pivotButton="0" quotePrefix="0" xfId="0">
      <alignment wrapText="1"/>
    </xf>
    <xf numFmtId="0" fontId="15" fillId="19" borderId="8" applyAlignment="1" pivotButton="0" quotePrefix="0" xfId="0">
      <alignment wrapText="1"/>
    </xf>
    <xf numFmtId="0" fontId="13" fillId="20" borderId="5" applyAlignment="1" pivotButton="0" quotePrefix="0" xfId="0">
      <alignment wrapText="1"/>
    </xf>
    <xf numFmtId="0" fontId="13" fillId="20" borderId="6" applyAlignment="1" pivotButton="0" quotePrefix="0" xfId="0">
      <alignment wrapText="1"/>
    </xf>
    <xf numFmtId="0" fontId="13" fillId="21" borderId="5" applyAlignment="1" pivotButton="0" quotePrefix="0" xfId="0">
      <alignment wrapText="1"/>
    </xf>
    <xf numFmtId="0" fontId="13" fillId="21" borderId="6" applyAlignment="1" pivotButton="0" quotePrefix="0" xfId="0">
      <alignment wrapText="1"/>
    </xf>
    <xf numFmtId="0" fontId="13" fillId="18" borderId="3" applyAlignment="1" pivotButton="0" quotePrefix="0" xfId="0">
      <alignment wrapText="1"/>
    </xf>
    <xf numFmtId="0" fontId="13" fillId="18" borderId="4" applyAlignment="1" pivotButton="0" quotePrefix="0" xfId="0">
      <alignment wrapText="1"/>
    </xf>
    <xf numFmtId="0" fontId="13" fillId="17" borderId="6" applyAlignment="1" pivotButton="0" quotePrefix="0" xfId="0">
      <alignment vertical="center" wrapText="1"/>
    </xf>
    <xf numFmtId="0" fontId="13" fillId="17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24" borderId="5" applyAlignment="1" pivotButton="0" quotePrefix="0" xfId="0">
      <alignment wrapText="1"/>
    </xf>
    <xf numFmtId="0" fontId="13" fillId="24" borderId="6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wrapText="1"/>
    </xf>
    <xf numFmtId="0" fontId="17" fillId="23" borderId="12" pivotButton="0" quotePrefix="0" xfId="2"/>
    <xf numFmtId="0" fontId="13" fillId="0" borderId="6" applyAlignment="1" pivotButton="0" quotePrefix="0" xfId="0">
      <alignment horizontal="center" wrapText="1"/>
    </xf>
    <xf numFmtId="0" fontId="13" fillId="17" borderId="6" applyAlignment="1" pivotButton="0" quotePrefix="0" xfId="0">
      <alignment horizontal="center" wrapText="1"/>
    </xf>
    <xf numFmtId="0" fontId="13" fillId="24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3" fillId="20" borderId="6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3" fillId="18" borderId="4" applyAlignment="1" pivotButton="0" quotePrefix="0" xfId="0">
      <alignment horizontal="center" wrapText="1"/>
    </xf>
    <xf numFmtId="0" fontId="13" fillId="21" borderId="4" applyAlignment="1" pivotButton="0" quotePrefix="0" xfId="0">
      <alignment horizontal="center" wrapText="1"/>
    </xf>
    <xf numFmtId="0" fontId="0" fillId="0" borderId="0" applyAlignment="1" pivotButton="0" quotePrefix="0" xfId="0">
      <alignment vertical="center"/>
    </xf>
    <xf numFmtId="0" fontId="13" fillId="18" borderId="4" applyAlignment="1" pivotButton="0" quotePrefix="0" xfId="0">
      <alignment horizontal="center" vertical="center" wrapText="1"/>
    </xf>
    <xf numFmtId="0" fontId="13" fillId="20" borderId="6" applyAlignment="1" pivotButton="0" quotePrefix="0" xfId="0">
      <alignment horizontal="center" vertical="center" wrapText="1"/>
    </xf>
    <xf numFmtId="0" fontId="13" fillId="21" borderId="6" applyAlignment="1" pivotButton="0" quotePrefix="0" xfId="0">
      <alignment horizontal="center" vertical="center" wrapText="1"/>
    </xf>
    <xf numFmtId="0" fontId="13" fillId="20" borderId="14" applyAlignment="1" pivotButton="0" quotePrefix="0" xfId="0">
      <alignment horizontal="center" vertical="center" wrapText="1"/>
    </xf>
    <xf numFmtId="0" fontId="13" fillId="17" borderId="14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8" fillId="22" borderId="14" applyAlignment="1" pivotButton="0" quotePrefix="0" xfId="1">
      <alignment horizontal="center" vertical="center" wrapText="1"/>
    </xf>
    <xf numFmtId="0" fontId="13" fillId="24" borderId="14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wrapText="1"/>
    </xf>
    <xf numFmtId="0" fontId="13" fillId="0" borderId="16" applyAlignment="1" pivotButton="0" quotePrefix="0" xfId="0">
      <alignment horizontal="center" wrapText="1"/>
    </xf>
    <xf numFmtId="0" fontId="13" fillId="20" borderId="3" applyAlignment="1" pivotButton="0" quotePrefix="0" xfId="0">
      <alignment horizontal="center" wrapText="1"/>
    </xf>
    <xf numFmtId="0" fontId="13" fillId="25" borderId="3" applyAlignment="1" pivotButton="0" quotePrefix="0" xfId="0">
      <alignment horizontal="center" wrapText="1"/>
    </xf>
    <xf numFmtId="0" fontId="13" fillId="28" borderId="3" applyAlignment="1" pivotButton="0" quotePrefix="0" xfId="0">
      <alignment horizontal="center" wrapText="1"/>
    </xf>
    <xf numFmtId="0" fontId="13" fillId="0" borderId="17" applyAlignment="1" pivotButton="0" quotePrefix="0" xfId="0">
      <alignment horizontal="center" wrapText="1"/>
    </xf>
    <xf numFmtId="0" fontId="13" fillId="27" borderId="3" applyAlignment="1" pivotButton="0" quotePrefix="0" xfId="0">
      <alignment horizontal="center" wrapText="1"/>
    </xf>
    <xf numFmtId="0" fontId="13" fillId="17" borderId="3" applyAlignment="1" pivotButton="0" quotePrefix="0" xfId="0">
      <alignment horizontal="center" wrapText="1"/>
    </xf>
    <xf numFmtId="0" fontId="13" fillId="26" borderId="3" applyAlignment="1" pivotButton="0" quotePrefix="0" xfId="0">
      <alignment horizontal="center" wrapText="1"/>
    </xf>
    <xf numFmtId="0" fontId="13" fillId="24" borderId="3" applyAlignment="1" pivotButton="0" quotePrefix="0" xfId="0">
      <alignment horizontal="center" wrapText="1"/>
    </xf>
    <xf numFmtId="0" fontId="13" fillId="25" borderId="3" applyAlignment="1" pivotButton="0" quotePrefix="0" xfId="0">
      <alignment horizontal="center" vertical="center" wrapText="1"/>
    </xf>
    <xf numFmtId="0" fontId="13" fillId="20" borderId="17" applyAlignment="1" pivotButton="0" quotePrefix="0" xfId="0">
      <alignment horizontal="center" wrapText="1"/>
    </xf>
    <xf numFmtId="0" fontId="13" fillId="0" borderId="17" applyAlignment="1" pivotButton="0" quotePrefix="0" xfId="0">
      <alignment wrapText="1"/>
    </xf>
    <xf numFmtId="0" fontId="13" fillId="20" borderId="5" applyAlignment="1" pivotButton="0" quotePrefix="0" xfId="0">
      <alignment horizontal="center" wrapText="1"/>
    </xf>
    <xf numFmtId="0" fontId="13" fillId="0" borderId="14" applyAlignment="1" pivotButton="0" quotePrefix="0" xfId="0">
      <alignment wrapText="1"/>
    </xf>
    <xf numFmtId="0" fontId="13" fillId="0" borderId="15" applyAlignment="1" pivotButton="0" quotePrefix="0" xfId="0">
      <alignment wrapText="1"/>
    </xf>
    <xf numFmtId="0" fontId="13" fillId="27" borderId="15" applyAlignment="1" pivotButton="0" quotePrefix="0" xfId="0">
      <alignment horizontal="center" wrapText="1"/>
    </xf>
    <xf numFmtId="0" fontId="13" fillId="28" borderId="15" applyAlignment="1" pivotButton="0" quotePrefix="0" xfId="0">
      <alignment horizontal="center" wrapText="1"/>
    </xf>
    <xf numFmtId="0" fontId="13" fillId="17" borderId="6" applyAlignment="1" pivotButton="0" quotePrefix="0" xfId="0">
      <alignment vertical="top" wrapText="1"/>
    </xf>
    <xf numFmtId="0" fontId="13" fillId="17" borderId="5" applyAlignment="1" pivotButton="0" quotePrefix="0" xfId="0">
      <alignment vertical="center" wrapText="1"/>
    </xf>
    <xf numFmtId="16" fontId="0" fillId="0" borderId="0" pivotButton="0" quotePrefix="0" xfId="0"/>
    <xf numFmtId="0" fontId="19" fillId="0" borderId="0" pivotButton="0" quotePrefix="0" xfId="0"/>
    <xf numFmtId="0" fontId="13" fillId="29" borderId="5" applyAlignment="1" pivotButton="0" quotePrefix="0" xfId="0">
      <alignment wrapText="1"/>
    </xf>
    <xf numFmtId="0" fontId="13" fillId="29" borderId="6" applyAlignment="1" pivotButton="0" quotePrefix="0" xfId="0">
      <alignment wrapText="1"/>
    </xf>
    <xf numFmtId="0" fontId="13" fillId="29" borderId="14" applyAlignment="1" pivotButton="0" quotePrefix="0" xfId="0">
      <alignment horizontal="center" vertical="center" wrapText="1"/>
    </xf>
    <xf numFmtId="0" fontId="13" fillId="29" borderId="3" applyAlignment="1" pivotButton="0" quotePrefix="0" xfId="0">
      <alignment horizontal="center" wrapText="1"/>
    </xf>
    <xf numFmtId="0" fontId="13" fillId="29" borderId="6" applyAlignment="1" pivotButton="0" quotePrefix="0" xfId="0">
      <alignment horizontal="center" wrapText="1"/>
    </xf>
    <xf numFmtId="0" fontId="0" fillId="29" borderId="0" pivotButton="0" quotePrefix="0" xfId="0"/>
    <xf numFmtId="0" fontId="13" fillId="0" borderId="6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4" fillId="0" borderId="1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1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8" fillId="0" borderId="0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top" wrapText="1"/>
    </xf>
  </cellXfs>
  <cellStyles count="3">
    <cellStyle name="Normal" xfId="0" builtinId="0"/>
    <cellStyle name="Good" xfId="1" builtinId="26"/>
    <cellStyle name="Neutral" xfId="2" builtinId="28"/>
  </cellStyles>
  <dxfs count="28"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084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  <dxf>
      <fill>
        <patternFill>
          <bgColor rgb="FFF8CBAD"/>
        </patternFill>
      </fill>
    </dxf>
    <dxf>
      <fill>
        <patternFill>
          <bgColor rgb="FF70AD47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BFBFBF"/>
        </patternFill>
      </fill>
    </dxf>
    <dxf>
      <fill>
        <patternFill>
          <bgColor rgb="FFD9D9D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7E6E6"/>
      <rgbColor rgb="FF993366"/>
      <rgbColor rgb="FFFFF8E1"/>
      <rgbColor rgb="FFE2EFDA"/>
      <rgbColor rgb="FF660066"/>
      <rgbColor rgb="FFFF8080"/>
      <rgbColor rgb="FF0066CC"/>
      <rgbColor rgb="FFD9D9D9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B0F0"/>
      <rgbColor rgb="FFEFEFEF"/>
      <rgbColor rgb="FFC6EFCE"/>
      <rgbColor rgb="FFFFEB9C"/>
      <rgbColor rgb="FFC6E0B4"/>
      <rgbColor rgb="FFF4B084"/>
      <rgbColor rgb="FFD9E1F2"/>
      <rgbColor rgb="FFF8CBAD"/>
      <rgbColor rgb="FF3366FF"/>
      <rgbColor rgb="FF33CCCC"/>
      <rgbColor rgb="FF70AD47"/>
      <rgbColor rgb="FFFFCC00"/>
      <rgbColor rgb="FFFF9900"/>
      <rgbColor rgb="FFFF6600"/>
      <rgbColor rgb="FF595959"/>
      <rgbColor rgb="FFB0B0B0"/>
      <rgbColor rgb="FF1F4E79"/>
      <rgbColor rgb="FF00B050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zoomScaleNormal="100" workbookViewId="0">
      <pane ySplit="3" topLeftCell="A15" activePane="bottomLeft" state="frozen"/>
      <selection pane="bottomLeft" activeCell="AE28" sqref="AE28"/>
    </sheetView>
  </sheetViews>
  <sheetFormatPr baseColWidth="8" defaultColWidth="14.42578125" defaultRowHeight="15"/>
  <cols>
    <col width="14" customWidth="1" style="121" min="1" max="1"/>
    <col width="28" customWidth="1" style="121" min="2" max="2"/>
    <col width="14" customWidth="1" style="121" min="3" max="4"/>
    <col width="12" customWidth="1" style="121" min="5" max="5"/>
    <col width="14" customWidth="1" style="121" min="6" max="6"/>
    <col width="10" customWidth="1" style="121" min="7" max="7"/>
    <col width="12" customWidth="1" style="121" min="8" max="8"/>
    <col width="8.7109375" customWidth="1" style="121" min="9" max="26"/>
  </cols>
  <sheetData>
    <row r="1" ht="31.5" customHeight="1" s="121">
      <c r="A1" s="125" t="inlineStr">
        <is>
          <t>PRE-CONVERT TRACKING DASHBOARD — GMES Conversion (34 page)</t>
        </is>
      </c>
    </row>
    <row r="2" ht="15" customHeight="1" s="121">
      <c r="A2" s="124" t="n"/>
    </row>
    <row r="4" ht="21.75" customHeight="1" s="121">
      <c r="A4" s="120" t="inlineStr">
        <is>
          <t>Progress Overview</t>
        </is>
      </c>
    </row>
    <row r="5" ht="15" customHeight="1" s="121">
      <c r="A5" s="3" t="inlineStr">
        <is>
          <t>Total</t>
        </is>
      </c>
      <c r="B5" s="4" t="n">
        <v>34</v>
      </c>
    </row>
    <row r="6" ht="15" customHeight="1" s="121">
      <c r="A6" s="3" t="inlineStr">
        <is>
          <t>Overall Status breakdown</t>
        </is>
      </c>
    </row>
    <row r="7" ht="15" customHeight="1" s="121">
      <c r="A7" s="5" t="inlineStr">
        <is>
          <t>Overall State</t>
        </is>
      </c>
      <c r="B7" s="5" t="inlineStr">
        <is>
          <t>page</t>
        </is>
      </c>
      <c r="C7" s="5" t="inlineStr">
        <is>
          <t>% total</t>
        </is>
      </c>
    </row>
    <row r="8" ht="15" customHeight="1" s="121">
      <c r="A8" s="6" t="inlineStr">
        <is>
          <t>Backlog</t>
        </is>
      </c>
      <c r="B8" s="7">
        <f>COUNTIF(Tracking!N:N,"Backlog")</f>
        <v/>
      </c>
      <c r="C8" s="8">
        <f>IFERROR(B8/34,0)</f>
        <v/>
      </c>
    </row>
    <row r="9" ht="15" customHeight="1" s="121">
      <c r="A9" s="9" t="inlineStr">
        <is>
          <t>Discovery</t>
        </is>
      </c>
      <c r="B9" s="7">
        <f>COUNTIF(Tracking!N:N,"Discovery")</f>
        <v/>
      </c>
      <c r="C9" s="8">
        <f>IFERROR(B9/34,0)</f>
        <v/>
      </c>
    </row>
    <row r="10" ht="23.25" customHeight="1" s="121">
      <c r="A10" s="9" t="inlineStr">
        <is>
          <t>Data Requested</t>
        </is>
      </c>
      <c r="B10" s="7">
        <f>COUNTIF(Tracking!N:N,"Data Requested")</f>
        <v/>
      </c>
      <c r="C10" s="8">
        <f>IFERROR(B10/34,0)</f>
        <v/>
      </c>
    </row>
    <row r="11" ht="15" customHeight="1" s="121">
      <c r="A11" s="10" t="inlineStr">
        <is>
          <t>Data Ready</t>
        </is>
      </c>
      <c r="B11" s="7">
        <f>COUNTIF(Tracking!N:N,"Data Ready")</f>
        <v/>
      </c>
      <c r="C11" s="8">
        <f>IFERROR(B11/34,0)</f>
        <v/>
      </c>
    </row>
    <row r="12" ht="15" customHeight="1" s="121">
      <c r="A12" s="11" t="inlineStr">
        <is>
          <t>Converting</t>
        </is>
      </c>
      <c r="B12" s="7">
        <f>COUNTIF(Tracking!N:N,"Converting")</f>
        <v/>
      </c>
      <c r="C12" s="8">
        <f>IFERROR(B12/34,0)</f>
        <v/>
      </c>
    </row>
    <row r="13" ht="15" customHeight="1" s="121">
      <c r="A13" s="11" t="inlineStr">
        <is>
          <t>QA</t>
        </is>
      </c>
      <c r="B13" s="7">
        <f>COUNTIF(Tracking!N:N,"QA")</f>
        <v/>
      </c>
      <c r="C13" s="8">
        <f>IFERROR(B13/34,0)</f>
        <v/>
      </c>
    </row>
    <row r="14" ht="15" customHeight="1" s="121">
      <c r="A14" s="12" t="inlineStr">
        <is>
          <t>Done</t>
        </is>
      </c>
      <c r="B14" s="7">
        <f>COUNTIF(Tracking!N:N,"Done")</f>
        <v/>
      </c>
      <c r="C14" s="8">
        <f>IFERROR(B14/34,0)</f>
        <v/>
      </c>
    </row>
    <row r="15" ht="15" customHeight="1" s="121">
      <c r="A15" s="13" t="inlineStr">
        <is>
          <t>TOTAL</t>
        </is>
      </c>
      <c r="B15" s="13">
        <f>SUM(B8:B14)</f>
        <v/>
      </c>
      <c r="C15" s="14">
        <f>B15/34</f>
        <v/>
      </c>
    </row>
    <row r="18" ht="21.75" customHeight="1" s="121">
      <c r="A18" s="120" t="inlineStr">
        <is>
          <t>Statistics by Each Step (B1 → B6)</t>
        </is>
      </c>
    </row>
    <row r="19" ht="30" customHeight="1" s="121">
      <c r="A19" s="5" t="inlineStr">
        <is>
          <t>Bước</t>
        </is>
      </c>
      <c r="B19" s="5" t="inlineStr">
        <is>
          <t>Checkpoint</t>
        </is>
      </c>
      <c r="C19" s="5" t="inlineStr">
        <is>
          <t>Not Started</t>
        </is>
      </c>
      <c r="D19" s="5" t="inlineStr">
        <is>
          <t>In Progress</t>
        </is>
      </c>
      <c r="E19" s="5" t="inlineStr">
        <is>
          <t>Done</t>
        </is>
      </c>
      <c r="F19" s="5" t="inlineStr">
        <is>
          <t>Blocked</t>
        </is>
      </c>
      <c r="G19" s="5" t="inlineStr">
        <is>
          <t>N/A</t>
        </is>
      </c>
      <c r="H19" s="5" t="inlineStr">
        <is>
          <t>% Done</t>
        </is>
      </c>
    </row>
    <row r="20" ht="15" customHeight="1" s="121">
      <c r="A20" s="13" t="inlineStr">
        <is>
          <t>B1</t>
        </is>
      </c>
      <c r="B20" s="1" t="inlineStr">
        <is>
          <t>Verify menu</t>
        </is>
      </c>
      <c r="C20" s="15">
        <f>COUNTIF(Tracking!G:G,"Not Started")</f>
        <v/>
      </c>
      <c r="D20" s="16">
        <f>COUNTIF(Tracking!G:G,"In Progress")</f>
        <v/>
      </c>
      <c r="E20" s="17">
        <f>COUNTIF(Tracking!G:G,"Done")</f>
        <v/>
      </c>
      <c r="F20" s="18">
        <f>COUNTIF(Tracking!G:G,"Blocked")</f>
        <v/>
      </c>
      <c r="G20" s="19">
        <f>COUNTIF(Tracking!G:G,"N/A")</f>
        <v/>
      </c>
      <c r="H20" s="8">
        <f>IFERROR(E20/(34-G20),0)</f>
        <v/>
      </c>
    </row>
    <row r="21" ht="15" customHeight="1" s="121">
      <c r="A21" s="13" t="inlineStr">
        <is>
          <t>B2</t>
        </is>
      </c>
      <c r="B21" s="1" t="inlineStr">
        <is>
          <t>Smoke-test page</t>
        </is>
      </c>
      <c r="C21" s="15">
        <f>COUNTIF(Tracking!H:H,"Not Started")</f>
        <v/>
      </c>
      <c r="D21" s="16">
        <f>COUNTIF(Tracking!H:H,"In Progress")</f>
        <v/>
      </c>
      <c r="E21" s="17">
        <f>COUNTIF(Tracking!H:H,"Done")</f>
        <v/>
      </c>
      <c r="F21" s="18">
        <f>COUNTIF(Tracking!H:H,"Blocked")</f>
        <v/>
      </c>
      <c r="G21" s="19">
        <f>COUNTIF(Tracking!H:H,"N/A")</f>
        <v/>
      </c>
      <c r="H21" s="8">
        <f>IFERROR(E21/(34-G21),0)</f>
        <v/>
      </c>
    </row>
    <row r="22" ht="15" customHeight="1" s="121">
      <c r="A22" s="13" t="inlineStr">
        <is>
          <t>B3</t>
        </is>
      </c>
      <c r="B22" s="1" t="inlineStr">
        <is>
          <t>Extract BizID</t>
        </is>
      </c>
      <c r="C22" s="15">
        <f>COUNTIF(Tracking!I:I,"Not Started")</f>
        <v/>
      </c>
      <c r="D22" s="16">
        <f>COUNTIF(Tracking!I:I,"In Progress")</f>
        <v/>
      </c>
      <c r="E22" s="17">
        <f>COUNTIF(Tracking!I:I,"Done")</f>
        <v/>
      </c>
      <c r="F22" s="18">
        <f>COUNTIF(Tracking!I:I,"Blocked")</f>
        <v/>
      </c>
      <c r="G22" s="19">
        <f>COUNTIF(Tracking!I:I,"N/A")</f>
        <v/>
      </c>
      <c r="H22" s="8">
        <f>IFERROR(E22/(34-G22),0)</f>
        <v/>
      </c>
    </row>
    <row r="23" ht="15" customHeight="1" s="121">
      <c r="A23" s="13" t="inlineStr">
        <is>
          <t>B4</t>
        </is>
      </c>
      <c r="B23" s="1" t="inlineStr">
        <is>
          <t>Trace to tables</t>
        </is>
      </c>
      <c r="C23" s="15">
        <f>COUNTIF(Tracking!J:J,"Not Started")</f>
        <v/>
      </c>
      <c r="D23" s="16">
        <f>COUNTIF(Tracking!J:J,"In Progress")</f>
        <v/>
      </c>
      <c r="E23" s="17">
        <f>COUNTIF(Tracking!J:J,"Done")</f>
        <v/>
      </c>
      <c r="F23" s="18">
        <f>COUNTIF(Tracking!J:J,"Blocked")</f>
        <v/>
      </c>
      <c r="G23" s="19">
        <f>COUNTIF(Tracking!J:J,"N/A")</f>
        <v/>
      </c>
      <c r="H23" s="8">
        <f>IFERROR(E23/(34-G23),0)</f>
        <v/>
      </c>
    </row>
    <row r="24" ht="15" customHeight="1" s="121">
      <c r="A24" s="13" t="inlineStr">
        <is>
          <t>B5</t>
        </is>
      </c>
      <c r="B24" s="1" t="inlineStr">
        <is>
          <t>Data request sent</t>
        </is>
      </c>
      <c r="C24" s="15">
        <f>COUNTIF(Tracking!K:K,"Not Started")</f>
        <v/>
      </c>
      <c r="D24" s="16">
        <f>COUNTIF(Tracking!K:K,"In Progress")</f>
        <v/>
      </c>
      <c r="E24" s="17">
        <f>COUNTIF(Tracking!K:K,"Done")</f>
        <v/>
      </c>
      <c r="F24" s="18">
        <f>COUNTIF(Tracking!K:K,"Blocked")</f>
        <v/>
      </c>
      <c r="G24" s="19">
        <f>COUNTIF(Tracking!K:K,"N/A")</f>
        <v/>
      </c>
      <c r="H24" s="8">
        <f>IFERROR(E24/(34-G24),0)</f>
        <v/>
      </c>
    </row>
    <row r="25" ht="15" customHeight="1" s="121">
      <c r="A25" s="13" t="inlineStr">
        <is>
          <t>B6</t>
        </is>
      </c>
      <c r="B25" s="1" t="inlineStr">
        <is>
          <t>Data received &amp; OK</t>
        </is>
      </c>
      <c r="C25" s="15">
        <f>COUNTIF(Tracking!L:L,"Not Started")</f>
        <v/>
      </c>
      <c r="D25" s="16">
        <f>COUNTIF(Tracking!L:L,"In Progress")</f>
        <v/>
      </c>
      <c r="E25" s="17">
        <f>COUNTIF(Tracking!L:L,"Done")</f>
        <v/>
      </c>
      <c r="F25" s="18">
        <f>COUNTIF(Tracking!L:L,"Blocked")</f>
        <v/>
      </c>
      <c r="G25" s="19">
        <f>COUNTIF(Tracking!L:L,"N/A")</f>
        <v/>
      </c>
      <c r="H25" s="8">
        <f>IFERROR(E25/(34-G25),0)</f>
        <v/>
      </c>
    </row>
    <row r="26" ht="15.75" customHeight="1" s="121"/>
    <row r="27" ht="15.75" customHeight="1" s="121"/>
    <row r="28" ht="21.75" customHeight="1" s="121">
      <c r="A28" s="120" t="inlineStr">
        <is>
          <t>Statistics by Business Phase</t>
        </is>
      </c>
    </row>
    <row r="29" ht="30" customHeight="1" s="121">
      <c r="A29" s="5" t="inlineStr">
        <is>
          <t>Phase</t>
        </is>
      </c>
      <c r="B29" s="5" t="inlineStr">
        <is>
          <t>Name</t>
        </is>
      </c>
      <c r="C29" s="5" t="inlineStr">
        <is>
          <t>Total page</t>
        </is>
      </c>
      <c r="D29" s="5" t="inlineStr">
        <is>
          <t>Data Ready (B6 Done)</t>
        </is>
      </c>
      <c r="E29" s="5" t="inlineStr">
        <is>
          <t>Converting</t>
        </is>
      </c>
      <c r="F29" s="5" t="inlineStr">
        <is>
          <t>Done</t>
        </is>
      </c>
      <c r="G29" s="5" t="inlineStr">
        <is>
          <t>% Ready</t>
        </is>
      </c>
    </row>
    <row r="30" ht="15" customHeight="1" s="121">
      <c r="A30" s="13" t="n">
        <v>1</v>
      </c>
      <c r="B30" s="20" t="inlineStr">
        <is>
          <t>Planning</t>
        </is>
      </c>
      <c r="C30" s="7">
        <f>COUNTIF(Tracking!B:B,1)</f>
        <v/>
      </c>
      <c r="D30" s="21">
        <f>COUNTIFS(Tracking!B:B,1,Tracking!L:L,"Done")</f>
        <v/>
      </c>
      <c r="E30" s="22">
        <f>COUNTIFS(Tracking!B:B,1,Tracking!N:N,"Converting")</f>
        <v/>
      </c>
      <c r="F30" s="23">
        <f>COUNTIFS(Tracking!B:B,1,Tracking!N:N,"Done")</f>
        <v/>
      </c>
      <c r="G30" s="8">
        <f>IFERROR(D30/C30,0)</f>
        <v/>
      </c>
    </row>
    <row r="31" ht="15" customHeight="1" s="121">
      <c r="A31" s="13" t="n">
        <v>2</v>
      </c>
      <c r="B31" s="20" t="inlineStr">
        <is>
          <t>Raw Material</t>
        </is>
      </c>
      <c r="C31" s="7">
        <f>COUNTIF(Tracking!B:B,2)</f>
        <v/>
      </c>
      <c r="D31" s="21">
        <f>COUNTIFS(Tracking!B:B,2,Tracking!L:L,"Done")</f>
        <v/>
      </c>
      <c r="E31" s="22">
        <f>COUNTIFS(Tracking!B:B,2,Tracking!N:N,"Converting")</f>
        <v/>
      </c>
      <c r="F31" s="23">
        <f>COUNTIFS(Tracking!B:B,2,Tracking!N:N,"Done")</f>
        <v/>
      </c>
      <c r="G31" s="8">
        <f>IFERROR(D31/C31,0)</f>
        <v/>
      </c>
    </row>
    <row r="32" ht="15" customHeight="1" s="121">
      <c r="A32" s="13" t="n">
        <v>3</v>
      </c>
      <c r="B32" s="20" t="inlineStr">
        <is>
          <t>Packaging</t>
        </is>
      </c>
      <c r="C32" s="7">
        <f>COUNTIF(Tracking!B:B,3)</f>
        <v/>
      </c>
      <c r="D32" s="21">
        <f>COUNTIFS(Tracking!B:B,3,Tracking!L:L,"Done")</f>
        <v/>
      </c>
      <c r="E32" s="22">
        <f>COUNTIFS(Tracking!B:B,3,Tracking!N:N,"Converting")</f>
        <v/>
      </c>
      <c r="F32" s="23">
        <f>COUNTIFS(Tracking!B:B,3,Tracking!N:N,"Done")</f>
        <v/>
      </c>
      <c r="G32" s="8">
        <f>IFERROR(D32/C32,0)</f>
        <v/>
      </c>
    </row>
    <row r="33" ht="15" customHeight="1" s="121">
      <c r="A33" s="13" t="n">
        <v>4</v>
      </c>
      <c r="B33" s="20" t="inlineStr">
        <is>
          <t>Scrap</t>
        </is>
      </c>
      <c r="C33" s="7">
        <f>COUNTIF(Tracking!B:B,4)</f>
        <v/>
      </c>
      <c r="D33" s="21">
        <f>COUNTIFS(Tracking!B:B,4,Tracking!L:L,"Done")</f>
        <v/>
      </c>
      <c r="E33" s="22">
        <f>COUNTIFS(Tracking!B:B,4,Tracking!N:N,"Converting")</f>
        <v/>
      </c>
      <c r="F33" s="23">
        <f>COUNTIFS(Tracking!B:B,4,Tracking!N:N,"Done")</f>
        <v/>
      </c>
      <c r="G33" s="8">
        <f>IFERROR(D33/C33,0)</f>
        <v/>
      </c>
    </row>
    <row r="34" ht="15" customHeight="1" s="121">
      <c r="A34" s="13" t="n">
        <v>5</v>
      </c>
      <c r="B34" s="20" t="inlineStr">
        <is>
          <t>Lot Trace</t>
        </is>
      </c>
      <c r="C34" s="7">
        <f>COUNTIF(Tracking!B:B,5)</f>
        <v/>
      </c>
      <c r="D34" s="21">
        <f>COUNTIFS(Tracking!B:B,5,Tracking!L:L,"Done")</f>
        <v/>
      </c>
      <c r="E34" s="22">
        <f>COUNTIFS(Tracking!B:B,5,Tracking!N:N,"Converting")</f>
        <v/>
      </c>
      <c r="F34" s="23">
        <f>COUNTIFS(Tracking!B:B,5,Tracking!N:N,"Done")</f>
        <v/>
      </c>
      <c r="G34" s="8">
        <f>IFERROR(D34/C34,0)</f>
        <v/>
      </c>
    </row>
    <row r="35" ht="15" customHeight="1" s="121">
      <c r="A35" s="13" t="n">
        <v>6</v>
      </c>
      <c r="B35" s="20" t="inlineStr">
        <is>
          <t>Production Results</t>
        </is>
      </c>
      <c r="C35" s="7">
        <f>COUNTIF(Tracking!B:B,6)</f>
        <v/>
      </c>
      <c r="D35" s="21">
        <f>COUNTIFS(Tracking!B:B,6,Tracking!L:L,"Done")</f>
        <v/>
      </c>
      <c r="E35" s="22">
        <f>COUNTIFS(Tracking!B:B,6,Tracking!N:N,"Converting")</f>
        <v/>
      </c>
      <c r="F35" s="23">
        <f>COUNTIFS(Tracking!B:B,6,Tracking!N:N,"Done")</f>
        <v/>
      </c>
      <c r="G35" s="8">
        <f>IFERROR(D35/C35,0)</f>
        <v/>
      </c>
    </row>
    <row r="36" ht="15" customHeight="1" s="121">
      <c r="A36" s="13" t="n">
        <v>7</v>
      </c>
      <c r="B36" s="20" t="inlineStr">
        <is>
          <t>Production Inquiry</t>
        </is>
      </c>
      <c r="C36" s="7">
        <f>COUNTIF(Tracking!B:B,7)</f>
        <v/>
      </c>
      <c r="D36" s="21">
        <f>COUNTIFS(Tracking!B:B,7,Tracking!L:L,"Done")</f>
        <v/>
      </c>
      <c r="E36" s="22">
        <f>COUNTIFS(Tracking!B:B,7,Tracking!N:N,"Converting")</f>
        <v/>
      </c>
      <c r="F36" s="23">
        <f>COUNTIFS(Tracking!B:B,7,Tracking!N:N,"Done")</f>
        <v/>
      </c>
      <c r="G36" s="8">
        <f>IFERROR(D36/C36,0)</f>
        <v/>
      </c>
    </row>
    <row r="37" ht="15" customHeight="1" s="121">
      <c r="A37" s="13" t="n">
        <v>8</v>
      </c>
      <c r="B37" s="20" t="inlineStr">
        <is>
          <t>Shipment</t>
        </is>
      </c>
      <c r="C37" s="7">
        <f>COUNTIF(Tracking!B:B,8)</f>
        <v/>
      </c>
      <c r="D37" s="21">
        <f>COUNTIFS(Tracking!B:B,8,Tracking!L:L,"Done")</f>
        <v/>
      </c>
      <c r="E37" s="22">
        <f>COUNTIFS(Tracking!B:B,8,Tracking!N:N,"Converting")</f>
        <v/>
      </c>
      <c r="F37" s="23">
        <f>COUNTIFS(Tracking!B:B,8,Tracking!N:N,"Done")</f>
        <v/>
      </c>
      <c r="G37" s="8">
        <f>IFERROR(D37/C37,0)</f>
        <v/>
      </c>
    </row>
    <row r="38" ht="15" customHeight="1" s="121">
      <c r="A38" s="13" t="n">
        <v>9</v>
      </c>
      <c r="B38" s="20" t="inlineStr">
        <is>
          <t>Warehouse</t>
        </is>
      </c>
      <c r="C38" s="7">
        <f>COUNTIF(Tracking!B:B,9)</f>
        <v/>
      </c>
      <c r="D38" s="21">
        <f>COUNTIFS(Tracking!B:B,9,Tracking!L:L,"Done")</f>
        <v/>
      </c>
      <c r="E38" s="22">
        <f>COUNTIFS(Tracking!B:B,9,Tracking!N:N,"Converting")</f>
        <v/>
      </c>
      <c r="F38" s="23">
        <f>COUNTIFS(Tracking!B:B,9,Tracking!N:N,"Done")</f>
        <v/>
      </c>
      <c r="G38" s="8">
        <f>IFERROR(D38/C38,0)</f>
        <v/>
      </c>
    </row>
    <row r="39" ht="15" customHeight="1" s="121">
      <c r="A39" s="13" t="n">
        <v>10</v>
      </c>
      <c r="B39" s="20" t="inlineStr">
        <is>
          <t>Board</t>
        </is>
      </c>
      <c r="C39" s="7">
        <f>COUNTIF(Tracking!B:B,10)</f>
        <v/>
      </c>
      <c r="D39" s="21">
        <f>COUNTIFS(Tracking!B:B,10,Tracking!L:L,"Done")</f>
        <v/>
      </c>
      <c r="E39" s="22">
        <f>COUNTIFS(Tracking!B:B,10,Tracking!N:N,"Converting")</f>
        <v/>
      </c>
      <c r="F39" s="23">
        <f>COUNTIFS(Tracking!B:B,10,Tracking!N:N,"Done")</f>
        <v/>
      </c>
      <c r="G39" s="8">
        <f>IFERROR(D39/C39,0)</f>
        <v/>
      </c>
    </row>
    <row r="40" ht="15.75" customHeight="1" s="121"/>
    <row r="41" ht="15.75" customHeight="1" s="121"/>
    <row r="42" ht="15.75" customHeight="1" s="121"/>
    <row r="43" ht="21.75" customHeight="1" s="121">
      <c r="A43" s="123" t="inlineStr">
        <is>
          <t>BLOCKERS</t>
        </is>
      </c>
    </row>
    <row r="44" ht="15" customHeight="1" s="121">
      <c r="A44" s="122" t="inlineStr">
        <is>
          <t>• Số màn có ít nhất 1 checkpoint bị Blocked:</t>
        </is>
      </c>
      <c r="H44" s="24">
        <f>COUNTIF(Tracking!N4:N37,"Blocked")</f>
        <v/>
      </c>
    </row>
    <row r="45" ht="15" customHeight="1" s="121">
      <c r="A45" s="122" t="inlineStr">
        <is>
          <t>• Số màn đang bị idle</t>
        </is>
      </c>
      <c r="H45" s="25">
        <f>COUNTIFS(Tracking!K4:K37,"Done",Tracking!L4:L37,"In Progress")</f>
        <v/>
      </c>
    </row>
    <row r="46" ht="15" customHeight="1" s="121">
      <c r="A46" s="126" t="n"/>
    </row>
    <row r="47" ht="15.75" customHeight="1" s="121"/>
    <row r="48" ht="15" customHeight="1" s="121">
      <c r="A48" s="122" t="inlineStr">
        <is>
          <t>Last updated:</t>
        </is>
      </c>
      <c r="B48" s="26">
        <f>TODAY()</f>
        <v/>
      </c>
    </row>
    <row r="49" ht="15.75" customHeight="1" s="121"/>
    <row r="50" ht="15.75" customHeight="1" s="121"/>
    <row r="51" ht="15.75" customHeight="1" s="121"/>
    <row r="52" ht="15.75" customHeight="1" s="121"/>
    <row r="53" ht="15.75" customHeight="1" s="121"/>
    <row r="54" ht="15.75" customHeight="1" s="121"/>
    <row r="55" ht="15.75" customHeight="1" s="121"/>
    <row r="56" ht="15.75" customHeight="1" s="121"/>
    <row r="57" ht="15.75" customHeight="1" s="121"/>
    <row r="58" ht="15.75" customHeight="1" s="121"/>
    <row r="59" ht="15.75" customHeight="1" s="121"/>
    <row r="60" ht="15.75" customHeight="1" s="121"/>
    <row r="61" ht="15.75" customHeight="1" s="121"/>
    <row r="62" ht="15.75" customHeight="1" s="121"/>
    <row r="63" ht="15.75" customHeight="1" s="121"/>
    <row r="64" ht="15.75" customHeight="1" s="121"/>
    <row r="65" ht="15.75" customHeight="1" s="121"/>
    <row r="66" ht="15.75" customHeight="1" s="121"/>
    <row r="67" ht="15.75" customHeight="1" s="121"/>
    <row r="68" ht="15.75" customHeight="1" s="121"/>
    <row r="69" ht="15.75" customHeight="1" s="121"/>
    <row r="70" ht="15.75" customHeight="1" s="121"/>
    <row r="71" ht="15.75" customHeight="1" s="121"/>
    <row r="72" ht="15.75" customHeight="1" s="121"/>
    <row r="73" ht="15.75" customHeight="1" s="121"/>
    <row r="74" ht="15.75" customHeight="1" s="121"/>
    <row r="75" ht="15.75" customHeight="1" s="121"/>
    <row r="76" ht="15.75" customHeight="1" s="121"/>
    <row r="77" ht="15.75" customHeight="1" s="121"/>
    <row r="78" ht="15.75" customHeight="1" s="121"/>
    <row r="79" ht="15.75" customHeight="1" s="121"/>
    <row r="80" ht="15.75" customHeight="1" s="121"/>
    <row r="81" ht="15.75" customHeight="1" s="121"/>
    <row r="82" ht="15.75" customHeight="1" s="121"/>
    <row r="83" ht="15.75" customHeight="1" s="121"/>
    <row r="84" ht="15.75" customHeight="1" s="121"/>
    <row r="85" ht="15.75" customHeight="1" s="121"/>
    <row r="86" ht="15.75" customHeight="1" s="121"/>
    <row r="87" ht="15.75" customHeight="1" s="121"/>
    <row r="88" ht="15.75" customHeight="1" s="121"/>
    <row r="89" ht="15.75" customHeight="1" s="121"/>
    <row r="90" ht="15.75" customHeight="1" s="121"/>
    <row r="91" ht="15.75" customHeight="1" s="121"/>
    <row r="92" ht="15.75" customHeight="1" s="121"/>
    <row r="93" ht="15.75" customHeight="1" s="121"/>
    <row r="94" ht="15.75" customHeight="1" s="121"/>
    <row r="95" ht="15.75" customHeight="1" s="121"/>
    <row r="96" ht="15.75" customHeight="1" s="121"/>
    <row r="97" ht="15.75" customHeight="1" s="121"/>
    <row r="98" ht="15.75" customHeight="1" s="121"/>
    <row r="99" ht="15.75" customHeight="1" s="121"/>
    <row r="100" ht="15.75" customHeight="1" s="121"/>
    <row r="101" ht="15.75" customHeight="1" s="121"/>
    <row r="102" ht="15.75" customHeight="1" s="121"/>
    <row r="103" ht="15.75" customHeight="1" s="121"/>
    <row r="104" ht="15.75" customHeight="1" s="121"/>
    <row r="105" ht="15.75" customHeight="1" s="121"/>
    <row r="106" ht="15.75" customHeight="1" s="121"/>
    <row r="107" ht="15.75" customHeight="1" s="121"/>
    <row r="108" ht="15.75" customHeight="1" s="121"/>
    <row r="109" ht="15.75" customHeight="1" s="121"/>
    <row r="110" ht="15.75" customHeight="1" s="121"/>
    <row r="111" ht="15.75" customHeight="1" s="121"/>
    <row r="112" ht="15.75" customHeight="1" s="121"/>
    <row r="113" ht="15.75" customHeight="1" s="121"/>
    <row r="114" ht="15.75" customHeight="1" s="121"/>
    <row r="115" ht="15.75" customHeight="1" s="121"/>
    <row r="116" ht="15.75" customHeight="1" s="121"/>
    <row r="117" ht="15.75" customHeight="1" s="121"/>
    <row r="118" ht="15.75" customHeight="1" s="121"/>
    <row r="119" ht="15.75" customHeight="1" s="121"/>
    <row r="120" ht="15.75" customHeight="1" s="121"/>
    <row r="121" ht="15.75" customHeight="1" s="121"/>
    <row r="122" ht="15.75" customHeight="1" s="121"/>
    <row r="123" ht="15.75" customHeight="1" s="121"/>
    <row r="124" ht="15.75" customHeight="1" s="121"/>
    <row r="125" ht="15.75" customHeight="1" s="121"/>
    <row r="126" ht="15.75" customHeight="1" s="121"/>
    <row r="127" ht="15.75" customHeight="1" s="121"/>
    <row r="128" ht="15.75" customHeight="1" s="121"/>
    <row r="129" ht="15.75" customHeight="1" s="121"/>
    <row r="130" ht="15.75" customHeight="1" s="121"/>
    <row r="131" ht="15.75" customHeight="1" s="121"/>
    <row r="132" ht="15.75" customHeight="1" s="121"/>
    <row r="133" ht="15.75" customHeight="1" s="121"/>
    <row r="134" ht="15.75" customHeight="1" s="121"/>
    <row r="135" ht="15.75" customHeight="1" s="121"/>
    <row r="136" ht="15.75" customHeight="1" s="121"/>
    <row r="137" ht="15.75" customHeight="1" s="121"/>
    <row r="138" ht="15.75" customHeight="1" s="121"/>
    <row r="139" ht="15.75" customHeight="1" s="121"/>
    <row r="140" ht="15.75" customHeight="1" s="121"/>
    <row r="141" ht="15.75" customHeight="1" s="121"/>
    <row r="142" ht="15.75" customHeight="1" s="121"/>
    <row r="143" ht="15.75" customHeight="1" s="121"/>
    <row r="144" ht="15.75" customHeight="1" s="121"/>
    <row r="145" ht="15.75" customHeight="1" s="121"/>
    <row r="146" ht="15.75" customHeight="1" s="121"/>
    <row r="147" ht="15.75" customHeight="1" s="121"/>
    <row r="148" ht="15.75" customHeight="1" s="121"/>
    <row r="149" ht="15.75" customHeight="1" s="121"/>
    <row r="150" ht="15.75" customHeight="1" s="121"/>
    <row r="151" ht="15.75" customHeight="1" s="121"/>
    <row r="152" ht="15.75" customHeight="1" s="121"/>
    <row r="153" ht="15.75" customHeight="1" s="121"/>
    <row r="154" ht="15.75" customHeight="1" s="121"/>
    <row r="155" ht="15.75" customHeight="1" s="121"/>
    <row r="156" ht="15.75" customHeight="1" s="121"/>
    <row r="157" ht="15.75" customHeight="1" s="121"/>
    <row r="158" ht="15.75" customHeight="1" s="121"/>
    <row r="159" ht="15.75" customHeight="1" s="121"/>
    <row r="160" ht="15.75" customHeight="1" s="121"/>
    <row r="161" ht="15.75" customHeight="1" s="121"/>
    <row r="162" ht="15.75" customHeight="1" s="121"/>
    <row r="163" ht="15.75" customHeight="1" s="121"/>
    <row r="164" ht="15.75" customHeight="1" s="121"/>
    <row r="165" ht="15.75" customHeight="1" s="121"/>
    <row r="166" ht="15.75" customHeight="1" s="121"/>
    <row r="167" ht="15.75" customHeight="1" s="121"/>
    <row r="168" ht="15.75" customHeight="1" s="121"/>
    <row r="169" ht="15.75" customHeight="1" s="121"/>
    <row r="170" ht="15.75" customHeight="1" s="121"/>
    <row r="171" ht="15.75" customHeight="1" s="121"/>
    <row r="172" ht="15.75" customHeight="1" s="121"/>
    <row r="173" ht="15.75" customHeight="1" s="121"/>
    <row r="174" ht="15.75" customHeight="1" s="121"/>
    <row r="175" ht="15.75" customHeight="1" s="121"/>
    <row r="176" ht="15.75" customHeight="1" s="121"/>
    <row r="177" ht="15.75" customHeight="1" s="121"/>
    <row r="178" ht="15.75" customHeight="1" s="121"/>
    <row r="179" ht="15.75" customHeight="1" s="121"/>
    <row r="180" ht="15.75" customHeight="1" s="121"/>
    <row r="181" ht="15.75" customHeight="1" s="121"/>
    <row r="182" ht="15.75" customHeight="1" s="121"/>
    <row r="183" ht="15.75" customHeight="1" s="121"/>
    <row r="184" ht="15.75" customHeight="1" s="121"/>
    <row r="185" ht="15.75" customHeight="1" s="121"/>
    <row r="186" ht="15.75" customHeight="1" s="121"/>
    <row r="187" ht="15.75" customHeight="1" s="121"/>
    <row r="188" ht="15.75" customHeight="1" s="121"/>
    <row r="189" ht="15.75" customHeight="1" s="121"/>
    <row r="190" ht="15.75" customHeight="1" s="121"/>
    <row r="191" ht="15.75" customHeight="1" s="121"/>
    <row r="192" ht="15.75" customHeight="1" s="121"/>
    <row r="193" ht="15.75" customHeight="1" s="121"/>
    <row r="194" ht="15.75" customHeight="1" s="121"/>
    <row r="195" ht="15.75" customHeight="1" s="121"/>
    <row r="196" ht="15.75" customHeight="1" s="121"/>
    <row r="197" ht="15.75" customHeight="1" s="121"/>
    <row r="198" ht="15.75" customHeight="1" s="121"/>
    <row r="199" ht="15.75" customHeight="1" s="121"/>
    <row r="200" ht="15.75" customHeight="1" s="121"/>
    <row r="201" ht="15.75" customHeight="1" s="121"/>
    <row r="202" ht="15.75" customHeight="1" s="121"/>
    <row r="203" ht="15.75" customHeight="1" s="121"/>
    <row r="204" ht="15.75" customHeight="1" s="121"/>
    <row r="205" ht="15.75" customHeight="1" s="121"/>
    <row r="206" ht="15.75" customHeight="1" s="121"/>
    <row r="207" ht="15.75" customHeight="1" s="121"/>
    <row r="208" ht="15.75" customHeight="1" s="121"/>
    <row r="209" ht="15.75" customHeight="1" s="121"/>
    <row r="210" ht="15.75" customHeight="1" s="121"/>
    <row r="211" ht="15.75" customHeight="1" s="121"/>
    <row r="212" ht="15.75" customHeight="1" s="121"/>
    <row r="213" ht="15.75" customHeight="1" s="121"/>
    <row r="214" ht="15.75" customHeight="1" s="121"/>
    <row r="215" ht="15.75" customHeight="1" s="121"/>
    <row r="216" ht="15.75" customHeight="1" s="121"/>
    <row r="217" ht="15.75" customHeight="1" s="121"/>
    <row r="218" ht="15.75" customHeight="1" s="121"/>
    <row r="219" ht="15.75" customHeight="1" s="121"/>
    <row r="220" ht="15.75" customHeight="1" s="121"/>
    <row r="221" ht="15.75" customHeight="1" s="121"/>
    <row r="222" ht="15.75" customHeight="1" s="121"/>
    <row r="223" ht="15.75" customHeight="1" s="121"/>
    <row r="224" ht="15.75" customHeight="1" s="121"/>
    <row r="225" ht="15.75" customHeight="1" s="121"/>
    <row r="226" ht="15.75" customHeight="1" s="121"/>
    <row r="227" ht="15.75" customHeight="1" s="121"/>
    <row r="228" ht="15.75" customHeight="1" s="121"/>
    <row r="229" ht="15.75" customHeight="1" s="121"/>
    <row r="230" ht="15.75" customHeight="1" s="121"/>
    <row r="231" ht="15.75" customHeight="1" s="121"/>
    <row r="232" ht="15.75" customHeight="1" s="121"/>
    <row r="233" ht="15.75" customHeight="1" s="121"/>
    <row r="234" ht="15.75" customHeight="1" s="121"/>
    <row r="235" ht="15.75" customHeight="1" s="121"/>
    <row r="236" ht="15.75" customHeight="1" s="121"/>
    <row r="237" ht="15.75" customHeight="1" s="121"/>
    <row r="238" ht="15.75" customHeight="1" s="121"/>
    <row r="239" ht="15.75" customHeight="1" s="121"/>
    <row r="240" ht="15.75" customHeight="1" s="121"/>
    <row r="241" ht="15.75" customHeight="1" s="121"/>
    <row r="242" ht="15.75" customHeight="1" s="121"/>
    <row r="243" ht="15.75" customHeight="1" s="121"/>
    <row r="244" ht="15.75" customHeight="1" s="121"/>
    <row r="245" ht="15.75" customHeight="1" s="121"/>
    <row r="246" ht="15.75" customHeight="1" s="121"/>
    <row r="247" ht="15.75" customHeight="1" s="121"/>
    <row r="248" ht="15.75" customHeight="1" s="121"/>
    <row r="249" ht="15.75" customHeight="1" s="121"/>
    <row r="250" ht="15.75" customHeight="1" s="121"/>
    <row r="251" ht="15.75" customHeight="1" s="121"/>
    <row r="252" ht="15.75" customHeight="1" s="121"/>
    <row r="253" ht="15.75" customHeight="1" s="121"/>
    <row r="254" ht="15.75" customHeight="1" s="121"/>
    <row r="255" ht="15.75" customHeight="1" s="121"/>
    <row r="256" ht="15.75" customHeight="1" s="121"/>
    <row r="257" ht="15.75" customHeight="1" s="121"/>
    <row r="258" ht="15.75" customHeight="1" s="121"/>
    <row r="259" ht="15.75" customHeight="1" s="121"/>
    <row r="260" ht="15.75" customHeight="1" s="121"/>
    <row r="261" ht="15.75" customHeight="1" s="121"/>
    <row r="262" ht="15.75" customHeight="1" s="121"/>
    <row r="263" ht="15.75" customHeight="1" s="121"/>
    <row r="264" ht="15.75" customHeight="1" s="121"/>
    <row r="265" ht="15.75" customHeight="1" s="121"/>
    <row r="266" ht="15.75" customHeight="1" s="121"/>
    <row r="267" ht="15.75" customHeight="1" s="121"/>
    <row r="268" ht="15.75" customHeight="1" s="121"/>
    <row r="269" ht="15.75" customHeight="1" s="121"/>
    <row r="270" ht="15.75" customHeight="1" s="121"/>
    <row r="271" ht="15.75" customHeight="1" s="121"/>
    <row r="272" ht="15.75" customHeight="1" s="121"/>
    <row r="273" ht="15.75" customHeight="1" s="121"/>
    <row r="274" ht="15.75" customHeight="1" s="121"/>
    <row r="275" ht="15.75" customHeight="1" s="121"/>
    <row r="276" ht="15.75" customHeight="1" s="121"/>
    <row r="277" ht="15.75" customHeight="1" s="121"/>
    <row r="278" ht="15.75" customHeight="1" s="121"/>
    <row r="279" ht="15.75" customHeight="1" s="121"/>
    <row r="280" ht="15.75" customHeight="1" s="121"/>
    <row r="281" ht="15.75" customHeight="1" s="121"/>
    <row r="282" ht="15.75" customHeight="1" s="121"/>
    <row r="283" ht="15.75" customHeight="1" s="121"/>
    <row r="284" ht="15.75" customHeight="1" s="121"/>
    <row r="285" ht="15.75" customHeight="1" s="121"/>
    <row r="286" ht="15.75" customHeight="1" s="121"/>
    <row r="287" ht="15.75" customHeight="1" s="121"/>
    <row r="288" ht="15.75" customHeight="1" s="121"/>
    <row r="289" ht="15.75" customHeight="1" s="121"/>
    <row r="290" ht="15.75" customHeight="1" s="121"/>
    <row r="291" ht="15.75" customHeight="1" s="121"/>
    <row r="292" ht="15.75" customHeight="1" s="121"/>
    <row r="293" ht="15.75" customHeight="1" s="121"/>
    <row r="294" ht="15.75" customHeight="1" s="121"/>
    <row r="295" ht="15.75" customHeight="1" s="121"/>
    <row r="296" ht="15.75" customHeight="1" s="121"/>
    <row r="297" ht="15.75" customHeight="1" s="121"/>
    <row r="298" ht="15.75" customHeight="1" s="121"/>
    <row r="299" ht="15.75" customHeight="1" s="121"/>
    <row r="300" ht="15.75" customHeight="1" s="121"/>
    <row r="301" ht="15.75" customHeight="1" s="121"/>
    <row r="302" ht="15.75" customHeight="1" s="121"/>
    <row r="303" ht="15.75" customHeight="1" s="121"/>
    <row r="304" ht="15.75" customHeight="1" s="121"/>
    <row r="305" ht="15.75" customHeight="1" s="121"/>
    <row r="306" ht="15.75" customHeight="1" s="121"/>
    <row r="307" ht="15.75" customHeight="1" s="121"/>
    <row r="308" ht="15.75" customHeight="1" s="121"/>
    <row r="309" ht="15.75" customHeight="1" s="121"/>
    <row r="310" ht="15.75" customHeight="1" s="121"/>
    <row r="311" ht="15.75" customHeight="1" s="121"/>
    <row r="312" ht="15.75" customHeight="1" s="121"/>
    <row r="313" ht="15.75" customHeight="1" s="121"/>
    <row r="314" ht="15.75" customHeight="1" s="121"/>
    <row r="315" ht="15.75" customHeight="1" s="121"/>
    <row r="316" ht="15.75" customHeight="1" s="121"/>
    <row r="317" ht="15.75" customHeight="1" s="121"/>
    <row r="318" ht="15.75" customHeight="1" s="121"/>
    <row r="319" ht="15.75" customHeight="1" s="121"/>
    <row r="320" ht="15.75" customHeight="1" s="121"/>
    <row r="321" ht="15.75" customHeight="1" s="121"/>
    <row r="322" ht="15.75" customHeight="1" s="121"/>
    <row r="323" ht="15.75" customHeight="1" s="121"/>
    <row r="324" ht="15.75" customHeight="1" s="121"/>
    <row r="325" ht="15.75" customHeight="1" s="121"/>
    <row r="326" ht="15.75" customHeight="1" s="121"/>
    <row r="327" ht="15.75" customHeight="1" s="121"/>
    <row r="328" ht="15.75" customHeight="1" s="121"/>
    <row r="329" ht="15.75" customHeight="1" s="121"/>
    <row r="330" ht="15.75" customHeight="1" s="121"/>
    <row r="331" ht="15.75" customHeight="1" s="121"/>
    <row r="332" ht="15.75" customHeight="1" s="121"/>
    <row r="333" ht="15.75" customHeight="1" s="121"/>
    <row r="334" ht="15.75" customHeight="1" s="121"/>
    <row r="335" ht="15.75" customHeight="1" s="121"/>
    <row r="336" ht="15.75" customHeight="1" s="121"/>
    <row r="337" ht="15.75" customHeight="1" s="121"/>
    <row r="338" ht="15.75" customHeight="1" s="121"/>
    <row r="339" ht="15.75" customHeight="1" s="121"/>
    <row r="340" ht="15.75" customHeight="1" s="121"/>
    <row r="341" ht="15.75" customHeight="1" s="121"/>
    <row r="342" ht="15.75" customHeight="1" s="121"/>
    <row r="343" ht="15.75" customHeight="1" s="121"/>
    <row r="344" ht="15.75" customHeight="1" s="121"/>
    <row r="345" ht="15.75" customHeight="1" s="121"/>
    <row r="346" ht="15.75" customHeight="1" s="121"/>
    <row r="347" ht="15.75" customHeight="1" s="121"/>
    <row r="348" ht="15.75" customHeight="1" s="121"/>
    <row r="349" ht="15.75" customHeight="1" s="121"/>
    <row r="350" ht="15.75" customHeight="1" s="121"/>
    <row r="351" ht="15.75" customHeight="1" s="121"/>
    <row r="352" ht="15.75" customHeight="1" s="121"/>
    <row r="353" ht="15.75" customHeight="1" s="121"/>
    <row r="354" ht="15.75" customHeight="1" s="121"/>
    <row r="355" ht="15.75" customHeight="1" s="121"/>
    <row r="356" ht="15.75" customHeight="1" s="121"/>
    <row r="357" ht="15.75" customHeight="1" s="121"/>
    <row r="358" ht="15.75" customHeight="1" s="121"/>
    <row r="359" ht="15.75" customHeight="1" s="121"/>
    <row r="360" ht="15.75" customHeight="1" s="121"/>
    <row r="361" ht="15.75" customHeight="1" s="121"/>
    <row r="362" ht="15.75" customHeight="1" s="121"/>
    <row r="363" ht="15.75" customHeight="1" s="121"/>
    <row r="364" ht="15.75" customHeight="1" s="121"/>
    <row r="365" ht="15.75" customHeight="1" s="121"/>
    <row r="366" ht="15.75" customHeight="1" s="121"/>
    <row r="367" ht="15.75" customHeight="1" s="121"/>
    <row r="368" ht="15.75" customHeight="1" s="121"/>
    <row r="369" ht="15.75" customHeight="1" s="121"/>
    <row r="370" ht="15.75" customHeight="1" s="121"/>
    <row r="371" ht="15.75" customHeight="1" s="121"/>
    <row r="372" ht="15.75" customHeight="1" s="121"/>
    <row r="373" ht="15.75" customHeight="1" s="121"/>
    <row r="374" ht="15.75" customHeight="1" s="121"/>
    <row r="375" ht="15.75" customHeight="1" s="121"/>
    <row r="376" ht="15.75" customHeight="1" s="121"/>
    <row r="377" ht="15.75" customHeight="1" s="121"/>
    <row r="378" ht="15.75" customHeight="1" s="121"/>
    <row r="379" ht="15.75" customHeight="1" s="121"/>
    <row r="380" ht="15.75" customHeight="1" s="121"/>
    <row r="381" ht="15.75" customHeight="1" s="121"/>
    <row r="382" ht="15.75" customHeight="1" s="121"/>
    <row r="383" ht="15.75" customHeight="1" s="121"/>
    <row r="384" ht="15.75" customHeight="1" s="121"/>
    <row r="385" ht="15.75" customHeight="1" s="121"/>
    <row r="386" ht="15.75" customHeight="1" s="121"/>
    <row r="387" ht="15.75" customHeight="1" s="121"/>
    <row r="388" ht="15.75" customHeight="1" s="121"/>
    <row r="389" ht="15.75" customHeight="1" s="121"/>
    <row r="390" ht="15.75" customHeight="1" s="121"/>
    <row r="391" ht="15.75" customHeight="1" s="121"/>
    <row r="392" ht="15.75" customHeight="1" s="121"/>
    <row r="393" ht="15.75" customHeight="1" s="121"/>
    <row r="394" ht="15.75" customHeight="1" s="121"/>
    <row r="395" ht="15.75" customHeight="1" s="121"/>
    <row r="396" ht="15.75" customHeight="1" s="121"/>
    <row r="397" ht="15.75" customHeight="1" s="121"/>
    <row r="398" ht="15.75" customHeight="1" s="121"/>
    <row r="399" ht="15.75" customHeight="1" s="121"/>
    <row r="400" ht="15.75" customHeight="1" s="121"/>
    <row r="401" ht="15.75" customHeight="1" s="121"/>
    <row r="402" ht="15.75" customHeight="1" s="121"/>
    <row r="403" ht="15.75" customHeight="1" s="121"/>
    <row r="404" ht="15.75" customHeight="1" s="121"/>
    <row r="405" ht="15.75" customHeight="1" s="121"/>
    <row r="406" ht="15.75" customHeight="1" s="121"/>
    <row r="407" ht="15.75" customHeight="1" s="121"/>
    <row r="408" ht="15.75" customHeight="1" s="121"/>
    <row r="409" ht="15.75" customHeight="1" s="121"/>
    <row r="410" ht="15.75" customHeight="1" s="121"/>
    <row r="411" ht="15.75" customHeight="1" s="121"/>
    <row r="412" ht="15.75" customHeight="1" s="121"/>
    <row r="413" ht="15.75" customHeight="1" s="121"/>
    <row r="414" ht="15.75" customHeight="1" s="121"/>
    <row r="415" ht="15.75" customHeight="1" s="121"/>
    <row r="416" ht="15.75" customHeight="1" s="121"/>
    <row r="417" ht="15.75" customHeight="1" s="121"/>
    <row r="418" ht="15.75" customHeight="1" s="121"/>
    <row r="419" ht="15.75" customHeight="1" s="121"/>
    <row r="420" ht="15.75" customHeight="1" s="121"/>
    <row r="421" ht="15.75" customHeight="1" s="121"/>
    <row r="422" ht="15.75" customHeight="1" s="121"/>
    <row r="423" ht="15.75" customHeight="1" s="121"/>
    <row r="424" ht="15.75" customHeight="1" s="121"/>
    <row r="425" ht="15.75" customHeight="1" s="121"/>
    <row r="426" ht="15.75" customHeight="1" s="121"/>
    <row r="427" ht="15.75" customHeight="1" s="121"/>
    <row r="428" ht="15.75" customHeight="1" s="121"/>
    <row r="429" ht="15.75" customHeight="1" s="121"/>
    <row r="430" ht="15.75" customHeight="1" s="121"/>
    <row r="431" ht="15.75" customHeight="1" s="121"/>
    <row r="432" ht="15.75" customHeight="1" s="121"/>
    <row r="433" ht="15.75" customHeight="1" s="121"/>
    <row r="434" ht="15.75" customHeight="1" s="121"/>
    <row r="435" ht="15.75" customHeight="1" s="121"/>
    <row r="436" ht="15.75" customHeight="1" s="121"/>
    <row r="437" ht="15.75" customHeight="1" s="121"/>
    <row r="438" ht="15.75" customHeight="1" s="121"/>
    <row r="439" ht="15.75" customHeight="1" s="121"/>
    <row r="440" ht="15.75" customHeight="1" s="121"/>
    <row r="441" ht="15.75" customHeight="1" s="121"/>
    <row r="442" ht="15.75" customHeight="1" s="121"/>
    <row r="443" ht="15.75" customHeight="1" s="121"/>
    <row r="444" ht="15.75" customHeight="1" s="121"/>
    <row r="445" ht="15.75" customHeight="1" s="121"/>
    <row r="446" ht="15.75" customHeight="1" s="121"/>
    <row r="447" ht="15.75" customHeight="1" s="121"/>
    <row r="448" ht="15.75" customHeight="1" s="121"/>
    <row r="449" ht="15.75" customHeight="1" s="121"/>
    <row r="450" ht="15.75" customHeight="1" s="121"/>
    <row r="451" ht="15.75" customHeight="1" s="121"/>
    <row r="452" ht="15.75" customHeight="1" s="121"/>
    <row r="453" ht="15.75" customHeight="1" s="121"/>
    <row r="454" ht="15.75" customHeight="1" s="121"/>
    <row r="455" ht="15.75" customHeight="1" s="121"/>
    <row r="456" ht="15.75" customHeight="1" s="121"/>
    <row r="457" ht="15.75" customHeight="1" s="121"/>
    <row r="458" ht="15.75" customHeight="1" s="121"/>
    <row r="459" ht="15.75" customHeight="1" s="121"/>
    <row r="460" ht="15.75" customHeight="1" s="121"/>
    <row r="461" ht="15.75" customHeight="1" s="121"/>
    <row r="462" ht="15.75" customHeight="1" s="121"/>
    <row r="463" ht="15.75" customHeight="1" s="121"/>
    <row r="464" ht="15.75" customHeight="1" s="121"/>
    <row r="465" ht="15.75" customHeight="1" s="121"/>
    <row r="466" ht="15.75" customHeight="1" s="121"/>
    <row r="467" ht="15.75" customHeight="1" s="121"/>
    <row r="468" ht="15.75" customHeight="1" s="121"/>
    <row r="469" ht="15.75" customHeight="1" s="121"/>
    <row r="470" ht="15.75" customHeight="1" s="121"/>
    <row r="471" ht="15.75" customHeight="1" s="121"/>
    <row r="472" ht="15.75" customHeight="1" s="121"/>
    <row r="473" ht="15.75" customHeight="1" s="121"/>
    <row r="474" ht="15.75" customHeight="1" s="121"/>
    <row r="475" ht="15.75" customHeight="1" s="121"/>
    <row r="476" ht="15.75" customHeight="1" s="121"/>
    <row r="477" ht="15.75" customHeight="1" s="121"/>
    <row r="478" ht="15.75" customHeight="1" s="121"/>
    <row r="479" ht="15.75" customHeight="1" s="121"/>
    <row r="480" ht="15.75" customHeight="1" s="121"/>
    <row r="481" ht="15.75" customHeight="1" s="121"/>
    <row r="482" ht="15.75" customHeight="1" s="121"/>
    <row r="483" ht="15.75" customHeight="1" s="121"/>
    <row r="484" ht="15.75" customHeight="1" s="121"/>
    <row r="485" ht="15.75" customHeight="1" s="121"/>
    <row r="486" ht="15.75" customHeight="1" s="121"/>
    <row r="487" ht="15.75" customHeight="1" s="121"/>
    <row r="488" ht="15.75" customHeight="1" s="121"/>
    <row r="489" ht="15.75" customHeight="1" s="121"/>
    <row r="490" ht="15.75" customHeight="1" s="121"/>
    <row r="491" ht="15.75" customHeight="1" s="121"/>
    <row r="492" ht="15.75" customHeight="1" s="121"/>
    <row r="493" ht="15.75" customHeight="1" s="121"/>
    <row r="494" ht="15.75" customHeight="1" s="121"/>
    <row r="495" ht="15.75" customHeight="1" s="121"/>
    <row r="496" ht="15.75" customHeight="1" s="121"/>
    <row r="497" ht="15.75" customHeight="1" s="121"/>
    <row r="498" ht="15.75" customHeight="1" s="121"/>
    <row r="499" ht="15.75" customHeight="1" s="121"/>
    <row r="500" ht="15.75" customHeight="1" s="121"/>
    <row r="501" ht="15.75" customHeight="1" s="121"/>
    <row r="502" ht="15.75" customHeight="1" s="121"/>
    <row r="503" ht="15.75" customHeight="1" s="121"/>
    <row r="504" ht="15.75" customHeight="1" s="121"/>
    <row r="505" ht="15.75" customHeight="1" s="121"/>
    <row r="506" ht="15.75" customHeight="1" s="121"/>
    <row r="507" ht="15.75" customHeight="1" s="121"/>
    <row r="508" ht="15.75" customHeight="1" s="121"/>
    <row r="509" ht="15.75" customHeight="1" s="121"/>
    <row r="510" ht="15.75" customHeight="1" s="121"/>
    <row r="511" ht="15.75" customHeight="1" s="121"/>
    <row r="512" ht="15.75" customHeight="1" s="121"/>
    <row r="513" ht="15.75" customHeight="1" s="121"/>
    <row r="514" ht="15.75" customHeight="1" s="121"/>
    <row r="515" ht="15.75" customHeight="1" s="121"/>
    <row r="516" ht="15.75" customHeight="1" s="121"/>
    <row r="517" ht="15.75" customHeight="1" s="121"/>
    <row r="518" ht="15.75" customHeight="1" s="121"/>
    <row r="519" ht="15.75" customHeight="1" s="121"/>
    <row r="520" ht="15.75" customHeight="1" s="121"/>
    <row r="521" ht="15.75" customHeight="1" s="121"/>
    <row r="522" ht="15.75" customHeight="1" s="121"/>
    <row r="523" ht="15.75" customHeight="1" s="121"/>
    <row r="524" ht="15.75" customHeight="1" s="121"/>
    <row r="525" ht="15.75" customHeight="1" s="121"/>
    <row r="526" ht="15.75" customHeight="1" s="121"/>
    <row r="527" ht="15.75" customHeight="1" s="121"/>
    <row r="528" ht="15.75" customHeight="1" s="121"/>
    <row r="529" ht="15.75" customHeight="1" s="121"/>
    <row r="530" ht="15.75" customHeight="1" s="121"/>
    <row r="531" ht="15.75" customHeight="1" s="121"/>
    <row r="532" ht="15.75" customHeight="1" s="121"/>
    <row r="533" ht="15.75" customHeight="1" s="121"/>
    <row r="534" ht="15.75" customHeight="1" s="121"/>
    <row r="535" ht="15.75" customHeight="1" s="121"/>
    <row r="536" ht="15.75" customHeight="1" s="121"/>
    <row r="537" ht="15.75" customHeight="1" s="121"/>
    <row r="538" ht="15.75" customHeight="1" s="121"/>
    <row r="539" ht="15.75" customHeight="1" s="121"/>
    <row r="540" ht="15.75" customHeight="1" s="121"/>
    <row r="541" ht="15.75" customHeight="1" s="121"/>
    <row r="542" ht="15.75" customHeight="1" s="121"/>
    <row r="543" ht="15.75" customHeight="1" s="121"/>
    <row r="544" ht="15.75" customHeight="1" s="121"/>
    <row r="545" ht="15.75" customHeight="1" s="121"/>
    <row r="546" ht="15.75" customHeight="1" s="121"/>
    <row r="547" ht="15.75" customHeight="1" s="121"/>
    <row r="548" ht="15.75" customHeight="1" s="121"/>
    <row r="549" ht="15.75" customHeight="1" s="121"/>
    <row r="550" ht="15.75" customHeight="1" s="121"/>
    <row r="551" ht="15.75" customHeight="1" s="121"/>
    <row r="552" ht="15.75" customHeight="1" s="121"/>
    <row r="553" ht="15.75" customHeight="1" s="121"/>
    <row r="554" ht="15.75" customHeight="1" s="121"/>
    <row r="555" ht="15.75" customHeight="1" s="121"/>
    <row r="556" ht="15.75" customHeight="1" s="121"/>
    <row r="557" ht="15.75" customHeight="1" s="121"/>
    <row r="558" ht="15.75" customHeight="1" s="121"/>
    <row r="559" ht="15.75" customHeight="1" s="121"/>
    <row r="560" ht="15.75" customHeight="1" s="121"/>
    <row r="561" ht="15.75" customHeight="1" s="121"/>
    <row r="562" ht="15.75" customHeight="1" s="121"/>
    <row r="563" ht="15.75" customHeight="1" s="121"/>
    <row r="564" ht="15.75" customHeight="1" s="121"/>
    <row r="565" ht="15.75" customHeight="1" s="121"/>
    <row r="566" ht="15.75" customHeight="1" s="121"/>
    <row r="567" ht="15.75" customHeight="1" s="121"/>
    <row r="568" ht="15.75" customHeight="1" s="121"/>
    <row r="569" ht="15.75" customHeight="1" s="121"/>
    <row r="570" ht="15.75" customHeight="1" s="121"/>
    <row r="571" ht="15.75" customHeight="1" s="121"/>
    <row r="572" ht="15.75" customHeight="1" s="121"/>
    <row r="573" ht="15.75" customHeight="1" s="121"/>
    <row r="574" ht="15.75" customHeight="1" s="121"/>
    <row r="575" ht="15.75" customHeight="1" s="121"/>
    <row r="576" ht="15.75" customHeight="1" s="121"/>
    <row r="577" ht="15.75" customHeight="1" s="121"/>
    <row r="578" ht="15.75" customHeight="1" s="121"/>
    <row r="579" ht="15.75" customHeight="1" s="121"/>
    <row r="580" ht="15.75" customHeight="1" s="121"/>
    <row r="581" ht="15.75" customHeight="1" s="121"/>
    <row r="582" ht="15.75" customHeight="1" s="121"/>
    <row r="583" ht="15.75" customHeight="1" s="121"/>
    <row r="584" ht="15.75" customHeight="1" s="121"/>
    <row r="585" ht="15.75" customHeight="1" s="121"/>
    <row r="586" ht="15.75" customHeight="1" s="121"/>
    <row r="587" ht="15.75" customHeight="1" s="121"/>
    <row r="588" ht="15.75" customHeight="1" s="121"/>
    <row r="589" ht="15.75" customHeight="1" s="121"/>
    <row r="590" ht="15.75" customHeight="1" s="121"/>
    <row r="591" ht="15.75" customHeight="1" s="121"/>
    <row r="592" ht="15.75" customHeight="1" s="121"/>
    <row r="593" ht="15.75" customHeight="1" s="121"/>
    <row r="594" ht="15.75" customHeight="1" s="121"/>
    <row r="595" ht="15.75" customHeight="1" s="121"/>
    <row r="596" ht="15.75" customHeight="1" s="121"/>
    <row r="597" ht="15.75" customHeight="1" s="121"/>
    <row r="598" ht="15.75" customHeight="1" s="121"/>
    <row r="599" ht="15.75" customHeight="1" s="121"/>
    <row r="600" ht="15.75" customHeight="1" s="121"/>
    <row r="601" ht="15.75" customHeight="1" s="121"/>
    <row r="602" ht="15.75" customHeight="1" s="121"/>
    <row r="603" ht="15.75" customHeight="1" s="121"/>
    <row r="604" ht="15.75" customHeight="1" s="121"/>
    <row r="605" ht="15.75" customHeight="1" s="121"/>
    <row r="606" ht="15.75" customHeight="1" s="121"/>
    <row r="607" ht="15.75" customHeight="1" s="121"/>
    <row r="608" ht="15.75" customHeight="1" s="121"/>
    <row r="609" ht="15.75" customHeight="1" s="121"/>
    <row r="610" ht="15.75" customHeight="1" s="121"/>
    <row r="611" ht="15.75" customHeight="1" s="121"/>
    <row r="612" ht="15.75" customHeight="1" s="121"/>
    <row r="613" ht="15.75" customHeight="1" s="121"/>
    <row r="614" ht="15.75" customHeight="1" s="121"/>
    <row r="615" ht="15.75" customHeight="1" s="121"/>
    <row r="616" ht="15.75" customHeight="1" s="121"/>
    <row r="617" ht="15.75" customHeight="1" s="121"/>
    <row r="618" ht="15.75" customHeight="1" s="121"/>
    <row r="619" ht="15.75" customHeight="1" s="121"/>
    <row r="620" ht="15.75" customHeight="1" s="121"/>
    <row r="621" ht="15.75" customHeight="1" s="121"/>
    <row r="622" ht="15.75" customHeight="1" s="121"/>
    <row r="623" ht="15.75" customHeight="1" s="121"/>
    <row r="624" ht="15.75" customHeight="1" s="121"/>
    <row r="625" ht="15.75" customHeight="1" s="121"/>
    <row r="626" ht="15.75" customHeight="1" s="121"/>
    <row r="627" ht="15.75" customHeight="1" s="121"/>
    <row r="628" ht="15.75" customHeight="1" s="121"/>
    <row r="629" ht="15.75" customHeight="1" s="121"/>
    <row r="630" ht="15.75" customHeight="1" s="121"/>
    <row r="631" ht="15.75" customHeight="1" s="121"/>
    <row r="632" ht="15.75" customHeight="1" s="121"/>
    <row r="633" ht="15.75" customHeight="1" s="121"/>
    <row r="634" ht="15.75" customHeight="1" s="121"/>
    <row r="635" ht="15.75" customHeight="1" s="121"/>
    <row r="636" ht="15.75" customHeight="1" s="121"/>
    <row r="637" ht="15.75" customHeight="1" s="121"/>
    <row r="638" ht="15.75" customHeight="1" s="121"/>
    <row r="639" ht="15.75" customHeight="1" s="121"/>
    <row r="640" ht="15.75" customHeight="1" s="121"/>
    <row r="641" ht="15.75" customHeight="1" s="121"/>
    <row r="642" ht="15.75" customHeight="1" s="121"/>
    <row r="643" ht="15.75" customHeight="1" s="121"/>
    <row r="644" ht="15.75" customHeight="1" s="121"/>
    <row r="645" ht="15.75" customHeight="1" s="121"/>
    <row r="646" ht="15.75" customHeight="1" s="121"/>
    <row r="647" ht="15.75" customHeight="1" s="121"/>
    <row r="648" ht="15.75" customHeight="1" s="121"/>
    <row r="649" ht="15.75" customHeight="1" s="121"/>
    <row r="650" ht="15.75" customHeight="1" s="121"/>
    <row r="651" ht="15.75" customHeight="1" s="121"/>
    <row r="652" ht="15.75" customHeight="1" s="121"/>
    <row r="653" ht="15.75" customHeight="1" s="121"/>
    <row r="654" ht="15.75" customHeight="1" s="121"/>
    <row r="655" ht="15.75" customHeight="1" s="121"/>
    <row r="656" ht="15.75" customHeight="1" s="121"/>
    <row r="657" ht="15.75" customHeight="1" s="121"/>
    <row r="658" ht="15.75" customHeight="1" s="121"/>
    <row r="659" ht="15.75" customHeight="1" s="121"/>
    <row r="660" ht="15.75" customHeight="1" s="121"/>
    <row r="661" ht="15.75" customHeight="1" s="121"/>
    <row r="662" ht="15.75" customHeight="1" s="121"/>
    <row r="663" ht="15.75" customHeight="1" s="121"/>
    <row r="664" ht="15.75" customHeight="1" s="121"/>
    <row r="665" ht="15.75" customHeight="1" s="121"/>
    <row r="666" ht="15.75" customHeight="1" s="121"/>
    <row r="667" ht="15.75" customHeight="1" s="121"/>
    <row r="668" ht="15.75" customHeight="1" s="121"/>
    <row r="669" ht="15.75" customHeight="1" s="121"/>
    <row r="670" ht="15.75" customHeight="1" s="121"/>
    <row r="671" ht="15.75" customHeight="1" s="121"/>
    <row r="672" ht="15.75" customHeight="1" s="121"/>
    <row r="673" ht="15.75" customHeight="1" s="121"/>
    <row r="674" ht="15.75" customHeight="1" s="121"/>
    <row r="675" ht="15.75" customHeight="1" s="121"/>
    <row r="676" ht="15.75" customHeight="1" s="121"/>
    <row r="677" ht="15.75" customHeight="1" s="121"/>
    <row r="678" ht="15.75" customHeight="1" s="121"/>
    <row r="679" ht="15.75" customHeight="1" s="121"/>
    <row r="680" ht="15.75" customHeight="1" s="121"/>
    <row r="681" ht="15.75" customHeight="1" s="121"/>
    <row r="682" ht="15.75" customHeight="1" s="121"/>
    <row r="683" ht="15.75" customHeight="1" s="121"/>
    <row r="684" ht="15.75" customHeight="1" s="121"/>
    <row r="685" ht="15.75" customHeight="1" s="121"/>
    <row r="686" ht="15.75" customHeight="1" s="121"/>
    <row r="687" ht="15.75" customHeight="1" s="121"/>
    <row r="688" ht="15.75" customHeight="1" s="121"/>
    <row r="689" ht="15.75" customHeight="1" s="121"/>
    <row r="690" ht="15.75" customHeight="1" s="121"/>
    <row r="691" ht="15.75" customHeight="1" s="121"/>
    <row r="692" ht="15.75" customHeight="1" s="121"/>
    <row r="693" ht="15.75" customHeight="1" s="121"/>
    <row r="694" ht="15.75" customHeight="1" s="121"/>
    <row r="695" ht="15.75" customHeight="1" s="121"/>
    <row r="696" ht="15.75" customHeight="1" s="121"/>
    <row r="697" ht="15.75" customHeight="1" s="121"/>
    <row r="698" ht="15.75" customHeight="1" s="121"/>
    <row r="699" ht="15.75" customHeight="1" s="121"/>
    <row r="700" ht="15.75" customHeight="1" s="121"/>
    <row r="701" ht="15.75" customHeight="1" s="121"/>
    <row r="702" ht="15.75" customHeight="1" s="121"/>
    <row r="703" ht="15.75" customHeight="1" s="121"/>
    <row r="704" ht="15.75" customHeight="1" s="121"/>
    <row r="705" ht="15.75" customHeight="1" s="121"/>
    <row r="706" ht="15.75" customHeight="1" s="121"/>
    <row r="707" ht="15.75" customHeight="1" s="121"/>
    <row r="708" ht="15.75" customHeight="1" s="121"/>
    <row r="709" ht="15.75" customHeight="1" s="121"/>
    <row r="710" ht="15.75" customHeight="1" s="121"/>
    <row r="711" ht="15.75" customHeight="1" s="121"/>
    <row r="712" ht="15.75" customHeight="1" s="121"/>
    <row r="713" ht="15.75" customHeight="1" s="121"/>
    <row r="714" ht="15.75" customHeight="1" s="121"/>
    <row r="715" ht="15.75" customHeight="1" s="121"/>
    <row r="716" ht="15.75" customHeight="1" s="121"/>
    <row r="717" ht="15.75" customHeight="1" s="121"/>
    <row r="718" ht="15.75" customHeight="1" s="121"/>
    <row r="719" ht="15.75" customHeight="1" s="121"/>
    <row r="720" ht="15.75" customHeight="1" s="121"/>
    <row r="721" ht="15.75" customHeight="1" s="121"/>
    <row r="722" ht="15.75" customHeight="1" s="121"/>
    <row r="723" ht="15.75" customHeight="1" s="121"/>
    <row r="724" ht="15.75" customHeight="1" s="121"/>
    <row r="725" ht="15.75" customHeight="1" s="121"/>
    <row r="726" ht="15.75" customHeight="1" s="121"/>
    <row r="727" ht="15.75" customHeight="1" s="121"/>
    <row r="728" ht="15.75" customHeight="1" s="121"/>
    <row r="729" ht="15.75" customHeight="1" s="121"/>
    <row r="730" ht="15.75" customHeight="1" s="121"/>
    <row r="731" ht="15.75" customHeight="1" s="121"/>
    <row r="732" ht="15.75" customHeight="1" s="121"/>
    <row r="733" ht="15.75" customHeight="1" s="121"/>
    <row r="734" ht="15.75" customHeight="1" s="121"/>
    <row r="735" ht="15.75" customHeight="1" s="121"/>
    <row r="736" ht="15.75" customHeight="1" s="121"/>
    <row r="737" ht="15.75" customHeight="1" s="121"/>
    <row r="738" ht="15.75" customHeight="1" s="121"/>
    <row r="739" ht="15.75" customHeight="1" s="121"/>
    <row r="740" ht="15.75" customHeight="1" s="121"/>
    <row r="741" ht="15.75" customHeight="1" s="121"/>
    <row r="742" ht="15.75" customHeight="1" s="121"/>
    <row r="743" ht="15.75" customHeight="1" s="121"/>
    <row r="744" ht="15.75" customHeight="1" s="121"/>
    <row r="745" ht="15.75" customHeight="1" s="121"/>
    <row r="746" ht="15.75" customHeight="1" s="121"/>
    <row r="747" ht="15.75" customHeight="1" s="121"/>
    <row r="748" ht="15.75" customHeight="1" s="121"/>
    <row r="749" ht="15.75" customHeight="1" s="121"/>
    <row r="750" ht="15.75" customHeight="1" s="121"/>
    <row r="751" ht="15.75" customHeight="1" s="121"/>
    <row r="752" ht="15.75" customHeight="1" s="121"/>
    <row r="753" ht="15.75" customHeight="1" s="121"/>
    <row r="754" ht="15.75" customHeight="1" s="121"/>
    <row r="755" ht="15.75" customHeight="1" s="121"/>
    <row r="756" ht="15.75" customHeight="1" s="121"/>
    <row r="757" ht="15.75" customHeight="1" s="121"/>
    <row r="758" ht="15.75" customHeight="1" s="121"/>
    <row r="759" ht="15.75" customHeight="1" s="121"/>
    <row r="760" ht="15.75" customHeight="1" s="121"/>
    <row r="761" ht="15.75" customHeight="1" s="121"/>
    <row r="762" ht="15.75" customHeight="1" s="121"/>
    <row r="763" ht="15.75" customHeight="1" s="121"/>
    <row r="764" ht="15.75" customHeight="1" s="121"/>
    <row r="765" ht="15.75" customHeight="1" s="121"/>
    <row r="766" ht="15.75" customHeight="1" s="121"/>
    <row r="767" ht="15.75" customHeight="1" s="121"/>
    <row r="768" ht="15.75" customHeight="1" s="121"/>
    <row r="769" ht="15.75" customHeight="1" s="121"/>
    <row r="770" ht="15.75" customHeight="1" s="121"/>
    <row r="771" ht="15.75" customHeight="1" s="121"/>
    <row r="772" ht="15.75" customHeight="1" s="121"/>
    <row r="773" ht="15.75" customHeight="1" s="121"/>
    <row r="774" ht="15.75" customHeight="1" s="121"/>
    <row r="775" ht="15.75" customHeight="1" s="121"/>
    <row r="776" ht="15.75" customHeight="1" s="121"/>
    <row r="777" ht="15.75" customHeight="1" s="121"/>
    <row r="778" ht="15.75" customHeight="1" s="121"/>
    <row r="779" ht="15.75" customHeight="1" s="121"/>
    <row r="780" ht="15.75" customHeight="1" s="121"/>
    <row r="781" ht="15.75" customHeight="1" s="121"/>
    <row r="782" ht="15.75" customHeight="1" s="121"/>
    <row r="783" ht="15.75" customHeight="1" s="121"/>
    <row r="784" ht="15.75" customHeight="1" s="121"/>
    <row r="785" ht="15.75" customHeight="1" s="121"/>
    <row r="786" ht="15.75" customHeight="1" s="121"/>
    <row r="787" ht="15.75" customHeight="1" s="121"/>
    <row r="788" ht="15.75" customHeight="1" s="121"/>
    <row r="789" ht="15.75" customHeight="1" s="121"/>
    <row r="790" ht="15.75" customHeight="1" s="121"/>
    <row r="791" ht="15.75" customHeight="1" s="121"/>
    <row r="792" ht="15.75" customHeight="1" s="121"/>
    <row r="793" ht="15.75" customHeight="1" s="121"/>
    <row r="794" ht="15.75" customHeight="1" s="121"/>
    <row r="795" ht="15.75" customHeight="1" s="121"/>
    <row r="796" ht="15.75" customHeight="1" s="121"/>
    <row r="797" ht="15.75" customHeight="1" s="121"/>
    <row r="798" ht="15.75" customHeight="1" s="121"/>
    <row r="799" ht="15.75" customHeight="1" s="121"/>
    <row r="800" ht="15.75" customHeight="1" s="121"/>
    <row r="801" ht="15.75" customHeight="1" s="121"/>
    <row r="802" ht="15.75" customHeight="1" s="121"/>
    <row r="803" ht="15.75" customHeight="1" s="121"/>
    <row r="804" ht="15.75" customHeight="1" s="121"/>
    <row r="805" ht="15.75" customHeight="1" s="121"/>
    <row r="806" ht="15.75" customHeight="1" s="121"/>
    <row r="807" ht="15.75" customHeight="1" s="121"/>
    <row r="808" ht="15.75" customHeight="1" s="121"/>
    <row r="809" ht="15.75" customHeight="1" s="121"/>
    <row r="810" ht="15.75" customHeight="1" s="121"/>
    <row r="811" ht="15.75" customHeight="1" s="121"/>
    <row r="812" ht="15.75" customHeight="1" s="121"/>
    <row r="813" ht="15.75" customHeight="1" s="121"/>
    <row r="814" ht="15.75" customHeight="1" s="121"/>
    <row r="815" ht="15.75" customHeight="1" s="121"/>
    <row r="816" ht="15.75" customHeight="1" s="121"/>
    <row r="817" ht="15.75" customHeight="1" s="121"/>
    <row r="818" ht="15.75" customHeight="1" s="121"/>
    <row r="819" ht="15.75" customHeight="1" s="121"/>
    <row r="820" ht="15.75" customHeight="1" s="121"/>
    <row r="821" ht="15.75" customHeight="1" s="121"/>
    <row r="822" ht="15.75" customHeight="1" s="121"/>
    <row r="823" ht="15.75" customHeight="1" s="121"/>
    <row r="824" ht="15.75" customHeight="1" s="121"/>
    <row r="825" ht="15.75" customHeight="1" s="121"/>
    <row r="826" ht="15.75" customHeight="1" s="121"/>
    <row r="827" ht="15.75" customHeight="1" s="121"/>
    <row r="828" ht="15.75" customHeight="1" s="121"/>
    <row r="829" ht="15.75" customHeight="1" s="121"/>
    <row r="830" ht="15.75" customHeight="1" s="121"/>
    <row r="831" ht="15.75" customHeight="1" s="121"/>
    <row r="832" ht="15.75" customHeight="1" s="121"/>
    <row r="833" ht="15.75" customHeight="1" s="121"/>
    <row r="834" ht="15.75" customHeight="1" s="121"/>
    <row r="835" ht="15.75" customHeight="1" s="121"/>
    <row r="836" ht="15.75" customHeight="1" s="121"/>
    <row r="837" ht="15.75" customHeight="1" s="121"/>
    <row r="838" ht="15.75" customHeight="1" s="121"/>
    <row r="839" ht="15.75" customHeight="1" s="121"/>
    <row r="840" ht="15.75" customHeight="1" s="121"/>
    <row r="841" ht="15.75" customHeight="1" s="121"/>
    <row r="842" ht="15.75" customHeight="1" s="121"/>
    <row r="843" ht="15.75" customHeight="1" s="121"/>
    <row r="844" ht="15.75" customHeight="1" s="121"/>
    <row r="845" ht="15.75" customHeight="1" s="121"/>
    <row r="846" ht="15.75" customHeight="1" s="121"/>
    <row r="847" ht="15.75" customHeight="1" s="121"/>
    <row r="848" ht="15.75" customHeight="1" s="121"/>
    <row r="849" ht="15.75" customHeight="1" s="121"/>
    <row r="850" ht="15.75" customHeight="1" s="121"/>
    <row r="851" ht="15.75" customHeight="1" s="121"/>
    <row r="852" ht="15.75" customHeight="1" s="121"/>
    <row r="853" ht="15.75" customHeight="1" s="121"/>
    <row r="854" ht="15.75" customHeight="1" s="121"/>
    <row r="855" ht="15.75" customHeight="1" s="121"/>
    <row r="856" ht="15.75" customHeight="1" s="121"/>
    <row r="857" ht="15.75" customHeight="1" s="121"/>
    <row r="858" ht="15.75" customHeight="1" s="121"/>
    <row r="859" ht="15.75" customHeight="1" s="121"/>
    <row r="860" ht="15.75" customHeight="1" s="121"/>
    <row r="861" ht="15.75" customHeight="1" s="121"/>
    <row r="862" ht="15.75" customHeight="1" s="121"/>
    <row r="863" ht="15.75" customHeight="1" s="121"/>
    <row r="864" ht="15.75" customHeight="1" s="121"/>
    <row r="865" ht="15.75" customHeight="1" s="121"/>
    <row r="866" ht="15.75" customHeight="1" s="121"/>
    <row r="867" ht="15.75" customHeight="1" s="121"/>
    <row r="868" ht="15.75" customHeight="1" s="121"/>
    <row r="869" ht="15.75" customHeight="1" s="121"/>
    <row r="870" ht="15.75" customHeight="1" s="121"/>
    <row r="871" ht="15.75" customHeight="1" s="121"/>
    <row r="872" ht="15.75" customHeight="1" s="121"/>
    <row r="873" ht="15.75" customHeight="1" s="121"/>
    <row r="874" ht="15.75" customHeight="1" s="121"/>
    <row r="875" ht="15.75" customHeight="1" s="121"/>
    <row r="876" ht="15.75" customHeight="1" s="121"/>
    <row r="877" ht="15.75" customHeight="1" s="121"/>
    <row r="878" ht="15.75" customHeight="1" s="121"/>
    <row r="879" ht="15.75" customHeight="1" s="121"/>
    <row r="880" ht="15.75" customHeight="1" s="121"/>
    <row r="881" ht="15.75" customHeight="1" s="121"/>
    <row r="882" ht="15.75" customHeight="1" s="121"/>
    <row r="883" ht="15.75" customHeight="1" s="121"/>
    <row r="884" ht="15.75" customHeight="1" s="121"/>
    <row r="885" ht="15.75" customHeight="1" s="121"/>
    <row r="886" ht="15.75" customHeight="1" s="121"/>
    <row r="887" ht="15.75" customHeight="1" s="121"/>
    <row r="888" ht="15.75" customHeight="1" s="121"/>
    <row r="889" ht="15.75" customHeight="1" s="121"/>
    <row r="890" ht="15.75" customHeight="1" s="121"/>
    <row r="891" ht="15.75" customHeight="1" s="121"/>
    <row r="892" ht="15.75" customHeight="1" s="121"/>
    <row r="893" ht="15.75" customHeight="1" s="121"/>
    <row r="894" ht="15.75" customHeight="1" s="121"/>
    <row r="895" ht="15.75" customHeight="1" s="121"/>
    <row r="896" ht="15.75" customHeight="1" s="121"/>
    <row r="897" ht="15.75" customHeight="1" s="121"/>
    <row r="898" ht="15.75" customHeight="1" s="121"/>
    <row r="899" ht="15.75" customHeight="1" s="121"/>
    <row r="900" ht="15.75" customHeight="1" s="121"/>
    <row r="901" ht="15.75" customHeight="1" s="121"/>
    <row r="902" ht="15.75" customHeight="1" s="121"/>
    <row r="903" ht="15.75" customHeight="1" s="121"/>
    <row r="904" ht="15.75" customHeight="1" s="121"/>
    <row r="905" ht="15.75" customHeight="1" s="121"/>
    <row r="906" ht="15.75" customHeight="1" s="121"/>
    <row r="907" ht="15.75" customHeight="1" s="121"/>
    <row r="908" ht="15.75" customHeight="1" s="121"/>
    <row r="909" ht="15.75" customHeight="1" s="121"/>
    <row r="910" ht="15.75" customHeight="1" s="121"/>
    <row r="911" ht="15.75" customHeight="1" s="121"/>
    <row r="912" ht="15.75" customHeight="1" s="121"/>
    <row r="913" ht="15.75" customHeight="1" s="121"/>
    <row r="914" ht="15.75" customHeight="1" s="121"/>
    <row r="915" ht="15.75" customHeight="1" s="121"/>
    <row r="916" ht="15.75" customHeight="1" s="121"/>
    <row r="917" ht="15.75" customHeight="1" s="121"/>
    <row r="918" ht="15.75" customHeight="1" s="121"/>
    <row r="919" ht="15.75" customHeight="1" s="121"/>
    <row r="920" ht="15.75" customHeight="1" s="121"/>
    <row r="921" ht="15.75" customHeight="1" s="121"/>
    <row r="922" ht="15.75" customHeight="1" s="121"/>
    <row r="923" ht="15.75" customHeight="1" s="121"/>
    <row r="924" ht="15.75" customHeight="1" s="121"/>
    <row r="925" ht="15.75" customHeight="1" s="121"/>
    <row r="926" ht="15.75" customHeight="1" s="121"/>
    <row r="927" ht="15.75" customHeight="1" s="121"/>
    <row r="928" ht="15.75" customHeight="1" s="121"/>
    <row r="929" ht="15.75" customHeight="1" s="121"/>
    <row r="930" ht="15.75" customHeight="1" s="121"/>
    <row r="931" ht="15.75" customHeight="1" s="121"/>
    <row r="932" ht="15.75" customHeight="1" s="121"/>
    <row r="933" ht="15.75" customHeight="1" s="121"/>
    <row r="934" ht="15.75" customHeight="1" s="121"/>
    <row r="935" ht="15.75" customHeight="1" s="121"/>
    <row r="936" ht="15.75" customHeight="1" s="121"/>
    <row r="937" ht="15.75" customHeight="1" s="121"/>
    <row r="938" ht="15.75" customHeight="1" s="121"/>
    <row r="939" ht="15.75" customHeight="1" s="121"/>
    <row r="940" ht="15.75" customHeight="1" s="121"/>
    <row r="941" ht="15.75" customHeight="1" s="121"/>
    <row r="942" ht="15.75" customHeight="1" s="121"/>
    <row r="943" ht="15.75" customHeight="1" s="121"/>
    <row r="944" ht="15.75" customHeight="1" s="121"/>
    <row r="945" ht="15.75" customHeight="1" s="121"/>
    <row r="946" ht="15.75" customHeight="1" s="121"/>
    <row r="947" ht="15.75" customHeight="1" s="121"/>
    <row r="948" ht="15.75" customHeight="1" s="121"/>
    <row r="949" ht="15.75" customHeight="1" s="121"/>
    <row r="950" ht="15.75" customHeight="1" s="121"/>
    <row r="951" ht="15.75" customHeight="1" s="121"/>
    <row r="952" ht="15.75" customHeight="1" s="121"/>
    <row r="953" ht="15.75" customHeight="1" s="121"/>
    <row r="954" ht="15.75" customHeight="1" s="121"/>
    <row r="955" ht="15.75" customHeight="1" s="121"/>
    <row r="956" ht="15.75" customHeight="1" s="121"/>
    <row r="957" ht="15.75" customHeight="1" s="121"/>
    <row r="958" ht="15.75" customHeight="1" s="121"/>
    <row r="959" ht="15.75" customHeight="1" s="121"/>
    <row r="960" ht="15.75" customHeight="1" s="121"/>
    <row r="961" ht="15.75" customHeight="1" s="121"/>
    <row r="962" ht="15.75" customHeight="1" s="121"/>
    <row r="963" ht="15.75" customHeight="1" s="121"/>
    <row r="964" ht="15.75" customHeight="1" s="121"/>
    <row r="965" ht="15.75" customHeight="1" s="121"/>
    <row r="966" ht="15.75" customHeight="1" s="121"/>
    <row r="967" ht="15.75" customHeight="1" s="121"/>
    <row r="968" ht="15.75" customHeight="1" s="121"/>
    <row r="969" ht="15.75" customHeight="1" s="121"/>
    <row r="970" ht="15.75" customHeight="1" s="121"/>
    <row r="971" ht="15.75" customHeight="1" s="121"/>
    <row r="972" ht="15.75" customHeight="1" s="121"/>
    <row r="973" ht="15.75" customHeight="1" s="121"/>
    <row r="974" ht="15.75" customHeight="1" s="121"/>
    <row r="975" ht="15.75" customHeight="1" s="121"/>
    <row r="976" ht="15.75" customHeight="1" s="121"/>
    <row r="977" ht="15.75" customHeight="1" s="121"/>
    <row r="978" ht="15.75" customHeight="1" s="121"/>
    <row r="979" ht="15.75" customHeight="1" s="121"/>
    <row r="980" ht="15.75" customHeight="1" s="121"/>
    <row r="981" ht="15.75" customHeight="1" s="121"/>
    <row r="982" ht="15.75" customHeight="1" s="121"/>
    <row r="983" ht="15.75" customHeight="1" s="121"/>
    <row r="984" ht="15.75" customHeight="1" s="121"/>
    <row r="985" ht="15.75" customHeight="1" s="121"/>
    <row r="986" ht="15.75" customHeight="1" s="121"/>
    <row r="987" ht="15.75" customHeight="1" s="121"/>
    <row r="988" ht="15.75" customHeight="1" s="121"/>
    <row r="989" ht="15.75" customHeight="1" s="121"/>
    <row r="990" ht="15.75" customHeight="1" s="121"/>
    <row r="991" ht="15.75" customHeight="1" s="121"/>
    <row r="992" ht="15.75" customHeight="1" s="121"/>
    <row r="993" ht="15.75" customHeight="1" s="121"/>
  </sheetData>
  <mergeCells count="9">
    <mergeCell ref="A18:H18"/>
    <mergeCell ref="A4:H4"/>
    <mergeCell ref="A44:G44"/>
    <mergeCell ref="A43:H43"/>
    <mergeCell ref="A2:H2"/>
    <mergeCell ref="A28:H28"/>
    <mergeCell ref="A1:H1"/>
    <mergeCell ref="A46:H46"/>
    <mergeCell ref="A45:G4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4"/>
  <sheetViews>
    <sheetView showGridLines="0" topLeftCell="D1" zoomScale="115" zoomScaleNormal="115" workbookViewId="0">
      <pane ySplit="1" topLeftCell="A20" activePane="bottomLeft" state="frozen"/>
      <selection pane="bottomLeft" activeCell="E40" sqref="E40"/>
    </sheetView>
  </sheetViews>
  <sheetFormatPr baseColWidth="8" defaultColWidth="8.5703125" defaultRowHeight="15"/>
  <cols>
    <col width="9.28515625" customWidth="1" style="121" min="1" max="1"/>
    <col width="45.28515625" customWidth="1" style="121" min="2" max="3"/>
    <col width="26.5703125" customWidth="1" style="121" min="4" max="4"/>
    <col width="33.28515625" customWidth="1" style="121" min="5" max="5"/>
    <col width="38" customWidth="1" style="121" min="6" max="7"/>
    <col width="52" customWidth="1" style="121" min="8" max="8"/>
    <col width="23" customWidth="1" style="121" min="9" max="9"/>
    <col width="12" customWidth="1" style="65" min="10" max="10"/>
    <col width="14" customWidth="1" style="64" min="11" max="11"/>
    <col width="11.85546875" customWidth="1" style="121" min="12" max="12"/>
    <col width="16.28515625" customWidth="1" style="121" min="13" max="13"/>
    <col width="21.7109375" customWidth="1" style="121" min="14" max="14"/>
    <col width="82.5703125" customWidth="1" style="121" min="15" max="15"/>
  </cols>
  <sheetData>
    <row r="1" ht="27.75" customHeight="1" s="121">
      <c r="A1" s="5" t="inlineStr">
        <is>
          <t>No</t>
        </is>
      </c>
      <c r="B1" s="5" t="inlineStr">
        <is>
          <t>Menu Group Name(kor)</t>
        </is>
      </c>
      <c r="C1" s="5" t="inlineStr">
        <is>
          <t>Menu Group Name(eng)</t>
        </is>
      </c>
      <c r="D1" s="5" t="inlineStr">
        <is>
          <t>Module Group</t>
        </is>
      </c>
      <c r="E1" s="5" t="inlineStr">
        <is>
          <t>Screen ID</t>
        </is>
      </c>
      <c r="F1" s="5" t="inlineStr">
        <is>
          <t>Page name(Ko)</t>
        </is>
      </c>
      <c r="G1" s="5" t="inlineStr">
        <is>
          <t>Page (EN)</t>
        </is>
      </c>
      <c r="H1" s="5" t="inlineStr">
        <is>
          <t>Page (VN)</t>
        </is>
      </c>
      <c r="I1" s="5" t="inlineStr">
        <is>
          <t>Popup/Sub</t>
        </is>
      </c>
      <c r="J1" s="5" t="inlineStr">
        <is>
          <t>Status</t>
        </is>
      </c>
      <c r="K1" s="5" t="inlineStr">
        <is>
          <t>Assignee</t>
        </is>
      </c>
      <c r="L1" s="5" t="inlineStr">
        <is>
          <t>Start Date</t>
        </is>
      </c>
      <c r="M1" s="5" t="inlineStr">
        <is>
          <t>End Date</t>
        </is>
      </c>
      <c r="N1" s="5" t="inlineStr">
        <is>
          <t>Estimate (h)</t>
        </is>
      </c>
      <c r="O1" s="5" t="inlineStr">
        <is>
          <t>Note</t>
        </is>
      </c>
    </row>
    <row r="2">
      <c r="A2" s="57" t="n">
        <v>6</v>
      </c>
      <c r="B2" s="58" t="n"/>
      <c r="C2" s="58" t="n"/>
      <c r="D2" s="58" t="inlineStr">
        <is>
          <t>GMES_IM_POM</t>
        </is>
      </c>
      <c r="E2" s="58" t="inlineStr">
        <is>
          <t> </t>
        </is>
      </c>
      <c r="F2" s="58" t="inlineStr">
        <is>
          <t>알람전송</t>
        </is>
      </c>
      <c r="G2" s="58" t="inlineStr">
        <is>
          <t>Alarm Transmission</t>
        </is>
      </c>
      <c r="H2" s="58" t="inlineStr">
        <is>
          <t>Truyền cảnh báo</t>
        </is>
      </c>
      <c r="I2" s="58" t="n">
        <v>0</v>
      </c>
      <c r="J2" s="82" t="inlineStr">
        <is>
          <t>TODO</t>
        </is>
      </c>
      <c r="K2" s="79" t="inlineStr">
        <is>
          <t> </t>
        </is>
      </c>
      <c r="L2" s="58" t="inlineStr">
        <is>
          <t> </t>
        </is>
      </c>
      <c r="M2" s="58" t="inlineStr">
        <is>
          <t> </t>
        </is>
      </c>
      <c r="N2" s="58" t="n"/>
      <c r="O2" s="58" t="inlineStr">
        <is>
          <t>Source ASPX 없음 — 소스 확인 필요 (Source ASPX missing — needs confirmation)</t>
        </is>
      </c>
    </row>
    <row r="3">
      <c r="A3" s="53" t="n">
        <v>18</v>
      </c>
      <c r="B3" s="54" t="inlineStr">
        <is>
          <t>공정관리&gt;측정관리</t>
        </is>
      </c>
      <c r="C3" s="54" t="inlineStr">
        <is>
          <t>Process Management&gt;측정관리</t>
        </is>
      </c>
      <c r="D3" s="54" t="inlineStr">
        <is>
          <t>GMES_IM_POM</t>
        </is>
      </c>
      <c r="E3" s="54" t="inlineStr">
        <is>
          <t>GMES_IMES_0243</t>
        </is>
      </c>
      <c r="F3" s="54" t="inlineStr">
        <is>
          <t>공정운전정보</t>
        </is>
      </c>
      <c r="G3" s="54" t="inlineStr">
        <is>
          <t>Process Operation Information</t>
        </is>
      </c>
      <c r="H3" s="54" t="inlineStr">
        <is>
          <t>Thông tin vận hành công đoạn</t>
        </is>
      </c>
      <c r="I3" s="54" t="n">
        <v>0</v>
      </c>
      <c r="J3" s="83" t="inlineStr">
        <is>
          <t>TODO</t>
        </is>
      </c>
      <c r="K3" s="77" t="inlineStr">
        <is>
          <t> </t>
        </is>
      </c>
      <c r="L3" s="54" t="inlineStr">
        <is>
          <t> </t>
        </is>
      </c>
      <c r="M3" s="54" t="inlineStr">
        <is>
          <t> </t>
        </is>
      </c>
      <c r="N3" s="54" t="n"/>
      <c r="O3" s="54" t="inlineStr">
        <is>
          <t>The Webiste UI can not be access</t>
        </is>
      </c>
    </row>
    <row r="4">
      <c r="A4" s="45" t="n">
        <v>24</v>
      </c>
      <c r="B4" s="54" t="inlineStr">
        <is>
          <t>생산실적&gt;실적조정 관리</t>
        </is>
      </c>
      <c r="C4" s="54" t="inlineStr">
        <is>
          <t>Production Result&gt;Result Adjustment Management</t>
        </is>
      </c>
      <c r="D4" s="54" t="inlineStr">
        <is>
          <t>GMES_IM_POM</t>
        </is>
      </c>
      <c r="E4" s="54" t="inlineStr">
        <is>
          <t>GMES_IMES_0565</t>
        </is>
      </c>
      <c r="F4" s="54" t="inlineStr">
        <is>
          <t>재처리 이력</t>
        </is>
      </c>
      <c r="G4" s="54" t="inlineStr">
        <is>
          <t>Reprocessing History</t>
        </is>
      </c>
      <c r="H4" s="54" t="inlineStr">
        <is>
          <t>Lịch sử tái xử lý</t>
        </is>
      </c>
      <c r="I4" s="54" t="n">
        <v>0</v>
      </c>
      <c r="J4" s="83" t="inlineStr">
        <is>
          <t>TODO</t>
        </is>
      </c>
      <c r="K4" s="102" t="inlineStr">
        <is>
          <t> </t>
        </is>
      </c>
      <c r="L4" s="54" t="inlineStr">
        <is>
          <t> </t>
        </is>
      </c>
      <c r="M4" s="54" t="inlineStr">
        <is>
          <t> </t>
        </is>
      </c>
      <c r="N4" s="54" t="n"/>
      <c r="O4" s="54" t="inlineStr">
        <is>
          <t>The Webiste UI can not be access</t>
        </is>
      </c>
    </row>
    <row r="5">
      <c r="A5" s="53" t="n">
        <v>28</v>
      </c>
      <c r="B5" s="54" t="inlineStr">
        <is>
          <t>생산실적&gt;정보조회</t>
        </is>
      </c>
      <c r="C5" s="54" t="inlineStr">
        <is>
          <t>Production Result&gt;information inquiry</t>
        </is>
      </c>
      <c r="D5" s="54" t="inlineStr">
        <is>
          <t>GMES_IM_POM</t>
        </is>
      </c>
      <c r="E5" s="54" t="inlineStr">
        <is>
          <t>GMES_IMES_0310_1</t>
        </is>
      </c>
      <c r="F5" s="54" t="inlineStr">
        <is>
          <t>생산실적 조회(T)</t>
        </is>
      </c>
      <c r="G5" s="54" t="inlineStr">
        <is>
          <t>Production Result Inquiry</t>
        </is>
      </c>
      <c r="H5" s="54" t="inlineStr">
        <is>
          <t>Tra cứu thành tích sản xuất (T)</t>
        </is>
      </c>
      <c r="I5" s="54" t="n">
        <v>0</v>
      </c>
      <c r="J5" s="85" t="inlineStr">
        <is>
          <t>TODO</t>
        </is>
      </c>
      <c r="K5" s="93" t="inlineStr">
        <is>
          <t> </t>
        </is>
      </c>
      <c r="L5" s="54" t="inlineStr">
        <is>
          <t> </t>
        </is>
      </c>
      <c r="M5" s="54" t="inlineStr">
        <is>
          <t> </t>
        </is>
      </c>
      <c r="N5" s="54" t="n"/>
      <c r="O5" s="54" t="inlineStr">
        <is>
          <t>The Webiste UI can not be access// menu name is wierd</t>
        </is>
      </c>
    </row>
    <row r="6" ht="26.25" customHeight="1" s="121">
      <c r="A6" s="53" t="n">
        <v>30</v>
      </c>
      <c r="B6" s="54" t="inlineStr">
        <is>
          <t>생산실적&gt;정보조회</t>
        </is>
      </c>
      <c r="C6" s="54" t="inlineStr">
        <is>
          <t>Production Result&gt;information inquiry</t>
        </is>
      </c>
      <c r="D6" s="54" t="inlineStr">
        <is>
          <t>GMES_IM_POM</t>
        </is>
      </c>
      <c r="E6" s="54" t="inlineStr">
        <is>
          <t>GMES_IMES_0570</t>
        </is>
      </c>
      <c r="F6" s="54" t="inlineStr">
        <is>
          <t>이상품 재고 발생 현황</t>
        </is>
      </c>
      <c r="G6" s="54" t="inlineStr">
        <is>
          <t>Status of abnormal product inventory occurrence</t>
        </is>
      </c>
      <c r="H6" s="54" t="inlineStr">
        <is>
          <t>Tình trạng phát sinh tồn kho lỗi</t>
        </is>
      </c>
      <c r="I6" s="54" t="n">
        <v>0</v>
      </c>
      <c r="J6" s="83" t="inlineStr">
        <is>
          <t>TODO</t>
        </is>
      </c>
      <c r="K6" s="77" t="inlineStr">
        <is>
          <t> </t>
        </is>
      </c>
      <c r="L6" s="54" t="inlineStr">
        <is>
          <t> </t>
        </is>
      </c>
      <c r="M6" s="54" t="inlineStr">
        <is>
          <t> </t>
        </is>
      </c>
      <c r="N6" s="54" t="n"/>
      <c r="O6" s="54" t="inlineStr">
        <is>
          <t>The Webiste UI can not be access</t>
        </is>
      </c>
    </row>
    <row r="7">
      <c r="A7" s="53" t="n">
        <v>33</v>
      </c>
      <c r="B7" s="54" t="inlineStr">
        <is>
          <t>생산실적&gt;수율</t>
        </is>
      </c>
      <c r="C7" s="54" t="inlineStr">
        <is>
          <t>Production Result&gt;Yield Report</t>
        </is>
      </c>
      <c r="D7" s="54" t="inlineStr">
        <is>
          <t>GMES_IM_POM</t>
        </is>
      </c>
      <c r="E7" s="54" t="inlineStr">
        <is>
          <t>GMES_IMES_0287</t>
        </is>
      </c>
      <c r="F7" s="54" t="inlineStr">
        <is>
          <t>수율(RTY) 조회</t>
        </is>
      </c>
      <c r="G7" s="54" t="inlineStr">
        <is>
          <t>Yield(RTY) Inquiry</t>
        </is>
      </c>
      <c r="H7" s="54" t="inlineStr">
        <is>
          <t>Tra cứu năng suất (RTY)</t>
        </is>
      </c>
      <c r="I7" s="54" t="n">
        <v>0</v>
      </c>
      <c r="J7" s="83" t="inlineStr">
        <is>
          <t>TODO</t>
        </is>
      </c>
      <c r="K7" s="77" t="inlineStr">
        <is>
          <t> </t>
        </is>
      </c>
      <c r="L7" s="54" t="inlineStr">
        <is>
          <t> </t>
        </is>
      </c>
      <c r="M7" s="54" t="inlineStr">
        <is>
          <t> </t>
        </is>
      </c>
      <c r="N7" s="54" t="n"/>
      <c r="O7" s="54" t="inlineStr">
        <is>
          <t>The Webiste UI can not be access</t>
        </is>
      </c>
    </row>
    <row r="8">
      <c r="A8" s="53" t="n">
        <v>34</v>
      </c>
      <c r="B8" s="54" t="inlineStr">
        <is>
          <t>생산실적&gt;수율</t>
        </is>
      </c>
      <c r="C8" s="54" t="inlineStr">
        <is>
          <t>Production Result&gt;Yield Report</t>
        </is>
      </c>
      <c r="D8" s="54" t="inlineStr">
        <is>
          <t>GMES_IM_POM</t>
        </is>
      </c>
      <c r="E8" s="54" t="inlineStr">
        <is>
          <t>GMES_IMES_0288</t>
        </is>
      </c>
      <c r="F8" s="54" t="inlineStr">
        <is>
          <t>수율(RTY) Report</t>
        </is>
      </c>
      <c r="G8" s="54" t="inlineStr">
        <is>
          <t>Yield(RTY) Summary</t>
        </is>
      </c>
      <c r="H8" s="54" t="inlineStr">
        <is>
          <t>Báo cáo năng suất (RTY)</t>
        </is>
      </c>
      <c r="I8" s="54" t="n">
        <v>0</v>
      </c>
      <c r="J8" s="83" t="inlineStr">
        <is>
          <t>TODO</t>
        </is>
      </c>
      <c r="K8" s="77" t="inlineStr">
        <is>
          <t> </t>
        </is>
      </c>
      <c r="L8" s="54" t="inlineStr">
        <is>
          <t> </t>
        </is>
      </c>
      <c r="M8" s="54" t="inlineStr">
        <is>
          <t> </t>
        </is>
      </c>
      <c r="N8" s="54" t="n"/>
      <c r="O8" s="54" t="inlineStr">
        <is>
          <t>The Webiste UI can not be access</t>
        </is>
      </c>
    </row>
    <row r="9">
      <c r="A9" s="53" t="n">
        <v>35</v>
      </c>
      <c r="B9" s="54" t="inlineStr">
        <is>
          <t>생산실적&gt;수율</t>
        </is>
      </c>
      <c r="C9" s="54" t="inlineStr">
        <is>
          <t>Production Result&gt;Yield Report</t>
        </is>
      </c>
      <c r="D9" s="54" t="inlineStr">
        <is>
          <t>GMES_IM_POM</t>
        </is>
      </c>
      <c r="E9" s="54" t="inlineStr">
        <is>
          <t>GMES_IMES_0285</t>
        </is>
      </c>
      <c r="F9" s="54" t="inlineStr">
        <is>
          <t>수율집계 대상 List 조회</t>
        </is>
      </c>
      <c r="G9" s="54" t="inlineStr">
        <is>
          <t>Yield(RTY) Aggregation List</t>
        </is>
      </c>
      <c r="H9" s="54" t="inlineStr">
        <is>
          <t>Tra cứu danh sách đối tượng tổng hợp năng suất</t>
        </is>
      </c>
      <c r="I9" s="54" t="n">
        <v>0</v>
      </c>
      <c r="J9" s="83" t="inlineStr">
        <is>
          <t>TODO</t>
        </is>
      </c>
      <c r="K9" s="77" t="inlineStr">
        <is>
          <t> </t>
        </is>
      </c>
      <c r="L9" s="54" t="inlineStr">
        <is>
          <t> </t>
        </is>
      </c>
      <c r="M9" s="54" t="inlineStr">
        <is>
          <t> </t>
        </is>
      </c>
      <c r="N9" s="54" t="n"/>
      <c r="O9" s="54" t="inlineStr">
        <is>
          <t>The Webiste UI can not be access</t>
        </is>
      </c>
    </row>
    <row r="10">
      <c r="A10" s="53" t="n">
        <v>36</v>
      </c>
      <c r="B10" s="54" t="inlineStr">
        <is>
          <t>생산실적&gt;수율</t>
        </is>
      </c>
      <c r="C10" s="54" t="inlineStr">
        <is>
          <t>Production Result&gt;Yield Report</t>
        </is>
      </c>
      <c r="D10" s="54" t="inlineStr">
        <is>
          <t>GMES_IM_POM</t>
        </is>
      </c>
      <c r="E10" s="54" t="inlineStr">
        <is>
          <t>GMES_IMES_0286</t>
        </is>
      </c>
      <c r="F10" s="54" t="inlineStr">
        <is>
          <t>수율집계대상 변경이력</t>
        </is>
      </c>
      <c r="G10" s="54" t="inlineStr">
        <is>
          <t>Yield Aggregation Target Change History</t>
        </is>
      </c>
      <c r="H10" s="54" t="inlineStr">
        <is>
          <t>Lịch sử thay đổi đối tượng tổng hợp năng suất</t>
        </is>
      </c>
      <c r="I10" s="54" t="n">
        <v>0</v>
      </c>
      <c r="J10" s="83" t="inlineStr">
        <is>
          <t>TODO</t>
        </is>
      </c>
      <c r="K10" s="77" t="inlineStr">
        <is>
          <t> </t>
        </is>
      </c>
      <c r="L10" s="54" t="inlineStr">
        <is>
          <t> </t>
        </is>
      </c>
      <c r="M10" s="54" t="inlineStr">
        <is>
          <t> </t>
        </is>
      </c>
      <c r="N10" s="54" t="n"/>
      <c r="O10" s="54" t="inlineStr">
        <is>
          <t>The Webiste UI can not be access</t>
        </is>
      </c>
    </row>
    <row r="11">
      <c r="A11" s="55" t="n">
        <v>74</v>
      </c>
      <c r="B11" s="56" t="inlineStr">
        <is>
          <t>시스템관리&gt;사용자관리</t>
        </is>
      </c>
      <c r="C11" s="56" t="inlineStr">
        <is>
          <t>System Manangement&gt;User Management</t>
        </is>
      </c>
      <c r="D11" s="56" t="inlineStr">
        <is>
          <t>COMM_FRW</t>
        </is>
      </c>
      <c r="E11" s="56" t="inlineStr">
        <is>
          <t>COMM_FRW_0001</t>
        </is>
      </c>
      <c r="F11" s="56" t="inlineStr">
        <is>
          <t>사용자</t>
        </is>
      </c>
      <c r="G11" s="56" t="inlineStr">
        <is>
          <t>User</t>
        </is>
      </c>
      <c r="H11" s="56" t="inlineStr">
        <is>
          <t>Người dùng</t>
        </is>
      </c>
      <c r="I11" s="56" t="n">
        <v>0</v>
      </c>
      <c r="J11" s="84" t="inlineStr">
        <is>
          <t>TODO</t>
        </is>
      </c>
      <c r="K11" s="80" t="inlineStr">
        <is>
          <t> </t>
        </is>
      </c>
      <c r="L11" s="56" t="inlineStr">
        <is>
          <t> </t>
        </is>
      </c>
      <c r="M11" s="56" t="inlineStr">
        <is>
          <t> </t>
        </is>
      </c>
      <c r="N11" s="56" t="n"/>
      <c r="O11" s="56" t="inlineStr">
        <is>
          <t xml:space="preserve"> No Authority</t>
        </is>
      </c>
    </row>
    <row r="12">
      <c r="A12" s="47" t="n">
        <v>75</v>
      </c>
      <c r="B12" s="48" t="inlineStr">
        <is>
          <t>x</t>
        </is>
      </c>
      <c r="C12" s="48" t="inlineStr">
        <is>
          <t>x</t>
        </is>
      </c>
      <c r="D12" s="48" t="inlineStr">
        <is>
          <t>GMES_IM_POM</t>
        </is>
      </c>
      <c r="E12" s="48" t="inlineStr">
        <is>
          <t>GMES_IMES_8000</t>
        </is>
      </c>
      <c r="F12" s="48" t="inlineStr">
        <is>
          <t>(개발중)네비게이터</t>
        </is>
      </c>
      <c r="G12" s="48" t="inlineStr">
        <is>
          <t>Navigator (In Development)</t>
        </is>
      </c>
      <c r="H12" s="48" t="inlineStr">
        <is>
          <t>Điều hướng (Đang phát triển)</t>
        </is>
      </c>
      <c r="I12" s="48" t="n">
        <v>0</v>
      </c>
      <c r="J12" s="61" t="inlineStr">
        <is>
          <t>TODO</t>
        </is>
      </c>
      <c r="K12" s="96" t="inlineStr">
        <is>
          <t> </t>
        </is>
      </c>
      <c r="L12" s="48" t="inlineStr">
        <is>
          <t> </t>
        </is>
      </c>
      <c r="M12" s="48" t="inlineStr">
        <is>
          <t> </t>
        </is>
      </c>
      <c r="N12" s="48" t="n"/>
      <c r="O12" s="48" t="inlineStr">
        <is>
          <t xml:space="preserve">This screen is done already </t>
        </is>
      </c>
    </row>
    <row r="13">
      <c r="A13" s="53" t="n">
        <v>76</v>
      </c>
      <c r="B13" s="54" t="inlineStr">
        <is>
          <t>표준관리 &gt; GMES 운영지표</t>
        </is>
      </c>
      <c r="C13" s="54" t="inlineStr">
        <is>
          <t>표준관리 &gt; GMES operating indicators</t>
        </is>
      </c>
      <c r="D13" s="54" t="inlineStr">
        <is>
          <t>GMES_POM</t>
        </is>
      </c>
      <c r="E13" s="54" t="inlineStr">
        <is>
          <t>GMES_IMS_0814</t>
        </is>
      </c>
      <c r="F13" s="54" t="inlineStr">
        <is>
          <t>GMES 운영지표</t>
        </is>
      </c>
      <c r="G13" s="54" t="inlineStr">
        <is>
          <t>GMES Operation Indicators</t>
        </is>
      </c>
      <c r="H13" s="54" t="inlineStr">
        <is>
          <t>Chỉ số vận hành GMES</t>
        </is>
      </c>
      <c r="I13" s="54" t="n">
        <v>0</v>
      </c>
      <c r="J13" s="85" t="inlineStr">
        <is>
          <t>TODO</t>
        </is>
      </c>
      <c r="K13" s="93" t="inlineStr">
        <is>
          <t> </t>
        </is>
      </c>
      <c r="L13" s="54" t="inlineStr">
        <is>
          <t> </t>
        </is>
      </c>
      <c r="M13" s="54" t="inlineStr">
        <is>
          <t> </t>
        </is>
      </c>
      <c r="N13" s="54" t="n"/>
      <c r="O13" s="54" t="inlineStr">
        <is>
          <t xml:space="preserve"> The website UI can not be access</t>
        </is>
      </c>
    </row>
    <row r="14">
      <c r="A14" s="45" t="n">
        <v>58</v>
      </c>
      <c r="B14" s="46" t="inlineStr">
        <is>
          <t>재고관리&gt;ERP I/F</t>
        </is>
      </c>
      <c r="C14" s="46" t="inlineStr">
        <is>
          <t>Inventory Management&gt;ERP I/F</t>
        </is>
      </c>
      <c r="D14" s="46" t="inlineStr">
        <is>
          <t>GMES_POM</t>
        </is>
      </c>
      <c r="E14" s="46" t="inlineStr">
        <is>
          <t>GMES_IMS_0928</t>
        </is>
      </c>
      <c r="F14" s="46" t="inlineStr">
        <is>
          <t>ERP 기타출고 처리</t>
        </is>
      </c>
      <c r="G14" s="46" t="inlineStr">
        <is>
          <t>ERP Account Transact</t>
        </is>
      </c>
      <c r="H14" s="46" t="inlineStr">
        <is>
          <t>Xử lý xuất kho khác ERP</t>
        </is>
      </c>
      <c r="I14" s="46" t="n">
        <v>0</v>
      </c>
      <c r="J14" s="86" t="inlineStr">
        <is>
          <t>TODO</t>
        </is>
      </c>
      <c r="K14" s="94" t="inlineStr">
        <is>
          <t>Eddie</t>
        </is>
      </c>
      <c r="L14" s="46" t="inlineStr">
        <is>
          <t> </t>
        </is>
      </c>
      <c r="M14" s="46" t="inlineStr">
        <is>
          <t> </t>
        </is>
      </c>
      <c r="N14" s="46" t="n"/>
      <c r="O14" s="46" t="inlineStr">
        <is>
          <t> </t>
        </is>
      </c>
    </row>
    <row r="15">
      <c r="A15" s="45" t="n">
        <v>62</v>
      </c>
      <c r="B15" s="46" t="inlineStr">
        <is>
          <t>재고관리&gt;ERP I/F</t>
        </is>
      </c>
      <c r="C15" s="46" t="inlineStr">
        <is>
          <t>Inventory Management&gt;ERP I/F</t>
        </is>
      </c>
      <c r="D15" s="46" t="inlineStr">
        <is>
          <t>GMES_POM</t>
        </is>
      </c>
      <c r="E15" s="46" t="inlineStr">
        <is>
          <t>GMES_IMS_0583</t>
        </is>
      </c>
      <c r="F15" s="46" t="inlineStr">
        <is>
          <t>ERP 전표조회</t>
        </is>
      </c>
      <c r="G15" s="46" t="inlineStr">
        <is>
          <t>ERP Transaction History</t>
        </is>
      </c>
      <c r="H15" s="46" t="inlineStr">
        <is>
          <t>Tra cứu chứng từ ERP</t>
        </is>
      </c>
      <c r="I15" s="46" t="n">
        <v>0</v>
      </c>
      <c r="J15" s="86" t="inlineStr">
        <is>
          <t>TODO</t>
        </is>
      </c>
      <c r="K15" s="94" t="inlineStr">
        <is>
          <t>Eddie</t>
        </is>
      </c>
      <c r="L15" s="46" t="inlineStr">
        <is>
          <t> </t>
        </is>
      </c>
      <c r="M15" s="46" t="inlineStr">
        <is>
          <t> </t>
        </is>
      </c>
      <c r="N15" s="46" t="n"/>
      <c r="O15" s="46" t="inlineStr">
        <is>
          <t> </t>
        </is>
      </c>
    </row>
    <row r="16">
      <c r="A16" s="45" t="n">
        <v>64</v>
      </c>
      <c r="B16" s="46" t="inlineStr">
        <is>
          <t>생산일지&gt;생산팀 관리일지</t>
        </is>
      </c>
      <c r="C16" s="46" t="inlineStr">
        <is>
          <t>Daily Report Management&gt;Production Daily Report</t>
        </is>
      </c>
      <c r="D16" s="46" t="inlineStr">
        <is>
          <t>GMES_IM_POM</t>
        </is>
      </c>
      <c r="E16" s="46" t="inlineStr">
        <is>
          <t>GMES_IMES_0272</t>
        </is>
      </c>
      <c r="F16" s="46" t="inlineStr">
        <is>
          <t>일지관리</t>
        </is>
      </c>
      <c r="G16" s="46" t="inlineStr">
        <is>
          <t>Report Management</t>
        </is>
      </c>
      <c r="H16" s="46" t="inlineStr">
        <is>
          <t>Quản lý nhật ký</t>
        </is>
      </c>
      <c r="I16" s="46" t="n">
        <v>10</v>
      </c>
      <c r="J16" s="86" t="inlineStr">
        <is>
          <t>TODO</t>
        </is>
      </c>
      <c r="K16" s="94" t="inlineStr">
        <is>
          <t>Eddie</t>
        </is>
      </c>
      <c r="L16" s="46" t="inlineStr">
        <is>
          <t> </t>
        </is>
      </c>
      <c r="M16" s="46" t="inlineStr">
        <is>
          <t> </t>
        </is>
      </c>
      <c r="N16" s="46" t="inlineStr">
        <is>
          <t>80h</t>
        </is>
      </c>
      <c r="O16" s="46" t="inlineStr">
        <is>
          <t xml:space="preserve"> 1 grid, 1 search, 2 excel, 3 button</t>
        </is>
      </c>
    </row>
    <row r="17" ht="26.25" customHeight="1" s="121">
      <c r="A17" s="45" t="n">
        <v>72</v>
      </c>
      <c r="B17" s="46" t="inlineStr">
        <is>
          <t>협력사일지&gt;협력사 관리일지</t>
        </is>
      </c>
      <c r="C17" s="46" t="inlineStr">
        <is>
          <t>Outsourced Company Daily Report Management&gt;Daily Report Management</t>
        </is>
      </c>
      <c r="D17" s="46" t="inlineStr">
        <is>
          <t>GMES_IM_POM</t>
        </is>
      </c>
      <c r="E17" s="46" t="inlineStr">
        <is>
          <t>GMES_IMES_0272</t>
        </is>
      </c>
      <c r="F17" s="46" t="inlineStr">
        <is>
          <t>디에스피 일지관리</t>
        </is>
      </c>
      <c r="G17" s="46" t="inlineStr">
        <is>
          <t>Report Management</t>
        </is>
      </c>
      <c r="H17" s="46" t="inlineStr">
        <is>
          <t>Quản lý nhật ký DSP</t>
        </is>
      </c>
      <c r="I17" s="46" t="n">
        <v>0</v>
      </c>
      <c r="J17" s="86" t="inlineStr">
        <is>
          <t>TODO</t>
        </is>
      </c>
      <c r="K17" s="94" t="inlineStr">
        <is>
          <t>Eddie</t>
        </is>
      </c>
      <c r="L17" s="46" t="inlineStr">
        <is>
          <t> </t>
        </is>
      </c>
      <c r="M17" s="46" t="inlineStr">
        <is>
          <t> </t>
        </is>
      </c>
      <c r="N17" s="46" t="n"/>
      <c r="O17" s="46" t="inlineStr">
        <is>
          <t>This is the same sceen but serve diffenrent purpose and have different KOR name</t>
        </is>
      </c>
    </row>
    <row r="18">
      <c r="A18" s="47" t="n">
        <v>21</v>
      </c>
      <c r="B18" s="48" t="inlineStr">
        <is>
          <t>공정관리&gt;소포장관리</t>
        </is>
      </c>
      <c r="C18" s="48" t="inlineStr">
        <is>
          <t>Process Management&gt;Small Packing Management</t>
        </is>
      </c>
      <c r="D18" s="48" t="inlineStr">
        <is>
          <t>GMES_IM_POM</t>
        </is>
      </c>
      <c r="E18" s="48" t="inlineStr">
        <is>
          <t>GMES_IMES_0802</t>
        </is>
      </c>
      <c r="F18" s="48" t="inlineStr">
        <is>
          <t>투입손실집계</t>
        </is>
      </c>
      <c r="G18" s="48" t="inlineStr">
        <is>
          <t>Total input loss</t>
        </is>
      </c>
      <c r="H18" s="48" t="inlineStr">
        <is>
          <t>Tổng hợp hao hụt đầu vào</t>
        </is>
      </c>
      <c r="I18" s="48" t="n">
        <v>0</v>
      </c>
      <c r="J18" s="87" t="inlineStr">
        <is>
          <t>TODO</t>
        </is>
      </c>
      <c r="K18" s="91" t="inlineStr">
        <is>
          <t>Eddie</t>
        </is>
      </c>
      <c r="L18" s="48" t="inlineStr">
        <is>
          <t> </t>
        </is>
      </c>
      <c r="M18" s="48" t="inlineStr">
        <is>
          <t> </t>
        </is>
      </c>
      <c r="N18" s="48" t="n"/>
      <c r="O18" s="48" t="inlineStr">
        <is>
          <t> </t>
        </is>
      </c>
    </row>
    <row r="19">
      <c r="A19" s="47" t="n">
        <v>23</v>
      </c>
      <c r="B19" s="48" t="inlineStr">
        <is>
          <t>생산실적&gt;실적조정 관리</t>
        </is>
      </c>
      <c r="C19" s="48" t="inlineStr">
        <is>
          <t>Production Result&gt;Result Adjustment Management</t>
        </is>
      </c>
      <c r="D19" s="48" t="inlineStr">
        <is>
          <t>GMES_IM_POM</t>
        </is>
      </c>
      <c r="E19" s="48" t="inlineStr">
        <is>
          <t>GMES_IMES_0306</t>
        </is>
      </c>
      <c r="F19" s="48" t="inlineStr">
        <is>
          <t>공정회수품 관리</t>
        </is>
      </c>
      <c r="G19" s="48" t="inlineStr">
        <is>
          <t>Process Recovered Goods</t>
        </is>
      </c>
      <c r="H19" s="48" t="inlineStr">
        <is>
          <t>Quản lý hàng thu hồi công đoạn</t>
        </is>
      </c>
      <c r="I19" s="48" t="n">
        <v>3</v>
      </c>
      <c r="J19" s="87" t="inlineStr">
        <is>
          <t>TODO</t>
        </is>
      </c>
      <c r="K19" s="91" t="inlineStr">
        <is>
          <t>Eddie</t>
        </is>
      </c>
      <c r="L19" s="48" t="inlineStr">
        <is>
          <t> </t>
        </is>
      </c>
      <c r="M19" s="48" t="inlineStr">
        <is>
          <t> </t>
        </is>
      </c>
      <c r="N19" s="48" t="inlineStr">
        <is>
          <t>40h</t>
        </is>
      </c>
      <c r="O19" s="48" t="inlineStr">
        <is>
          <t>Search, 2 Excel</t>
        </is>
      </c>
    </row>
    <row r="20" ht="24" customHeight="1" s="121">
      <c r="A20" s="47" t="n">
        <v>47</v>
      </c>
      <c r="B20" s="48" t="inlineStr">
        <is>
          <t>재고관리&gt;재고마감</t>
        </is>
      </c>
      <c r="C20" s="48" t="inlineStr">
        <is>
          <t>Inventory Management&gt;inventory closing</t>
        </is>
      </c>
      <c r="D20" s="48" t="inlineStr">
        <is>
          <t>GMES_IM_POM</t>
        </is>
      </c>
      <c r="E20" s="48" t="inlineStr">
        <is>
          <t>GMES_IMES_2611</t>
        </is>
      </c>
      <c r="F20" s="48" t="inlineStr">
        <is>
          <t>생산마감 MES/ERP 처리현황</t>
        </is>
      </c>
      <c r="G20" s="48" t="inlineStr">
        <is>
          <t>Production Closing MES/ERP Processing Status</t>
        </is>
      </c>
      <c r="H20" s="48" t="inlineStr">
        <is>
          <t>Tình trạng xử lý MES/ERP đóng sản xuất</t>
        </is>
      </c>
      <c r="I20" s="48" t="n">
        <v>0</v>
      </c>
      <c r="J20" s="87" t="inlineStr">
        <is>
          <t>TODO</t>
        </is>
      </c>
      <c r="K20" s="91" t="inlineStr">
        <is>
          <t>Eddie</t>
        </is>
      </c>
      <c r="L20" s="48" t="inlineStr">
        <is>
          <t> </t>
        </is>
      </c>
      <c r="M20" s="48" t="inlineStr">
        <is>
          <t> </t>
        </is>
      </c>
      <c r="N20" s="48" t="inlineStr">
        <is>
          <t>24h</t>
        </is>
      </c>
      <c r="O20" s="48" t="inlineStr">
        <is>
          <t>Search, Excel</t>
        </is>
      </c>
    </row>
    <row r="21" ht="15.75" customHeight="1" s="121">
      <c r="A21" s="47" t="n">
        <v>53</v>
      </c>
      <c r="B21" s="48" t="inlineStr">
        <is>
          <t>재고관리&gt;ERP I/F</t>
        </is>
      </c>
      <c r="C21" s="48" t="inlineStr">
        <is>
          <t>Inventory Management&gt;ERP I/F</t>
        </is>
      </c>
      <c r="D21" s="48" t="inlineStr">
        <is>
          <t>GMES_POM</t>
        </is>
      </c>
      <c r="E21" s="48" t="inlineStr">
        <is>
          <t>GMES_IMS_0923</t>
        </is>
      </c>
      <c r="F21" s="48" t="inlineStr">
        <is>
          <t>재고실사 문서생성</t>
        </is>
      </c>
      <c r="G21" s="48" t="inlineStr">
        <is>
          <t>Cycle Count Document</t>
        </is>
      </c>
      <c r="H21" s="48" t="inlineStr">
        <is>
          <t>Tạo chứng từ kiểm kê tồn kho</t>
        </is>
      </c>
      <c r="I21" s="48" t="n">
        <v>1</v>
      </c>
      <c r="J21" s="87" t="inlineStr">
        <is>
          <t>TODO</t>
        </is>
      </c>
      <c r="K21" s="91" t="inlineStr">
        <is>
          <t>Eddie</t>
        </is>
      </c>
      <c r="L21" s="48" t="inlineStr">
        <is>
          <t> </t>
        </is>
      </c>
      <c r="M21" s="48" t="inlineStr">
        <is>
          <t> </t>
        </is>
      </c>
      <c r="N21" s="48" t="inlineStr">
        <is>
          <t>24h</t>
        </is>
      </c>
      <c r="O21" s="48" t="inlineStr">
        <is>
          <t xml:space="preserve"> Search, Excel, print</t>
        </is>
      </c>
    </row>
    <row r="22" ht="15.75" customHeight="1" s="121">
      <c r="A22" s="47" t="n">
        <v>55</v>
      </c>
      <c r="B22" s="48" t="inlineStr">
        <is>
          <t>재고관리&gt;ERP I/F</t>
        </is>
      </c>
      <c r="C22" s="48" t="inlineStr">
        <is>
          <t>Inventory Management&gt;ERP I/F</t>
        </is>
      </c>
      <c r="D22" s="48" t="inlineStr">
        <is>
          <t>GMES_POM</t>
        </is>
      </c>
      <c r="E22" s="48" t="inlineStr">
        <is>
          <t>GMES_IMS_0925</t>
        </is>
      </c>
      <c r="F22" s="48" t="inlineStr">
        <is>
          <t>재고실사 차이배부</t>
        </is>
      </c>
      <c r="G22" s="48" t="inlineStr">
        <is>
          <t>Distribution Variance</t>
        </is>
      </c>
      <c r="H22" s="48" t="inlineStr">
        <is>
          <t>Phân bổ chênh lệch kiểm kê</t>
        </is>
      </c>
      <c r="I22" s="48" t="n">
        <v>0</v>
      </c>
      <c r="J22" s="87" t="inlineStr">
        <is>
          <t>TODO</t>
        </is>
      </c>
      <c r="K22" s="91" t="inlineStr">
        <is>
          <t>Eddie</t>
        </is>
      </c>
      <c r="L22" s="48" t="inlineStr">
        <is>
          <t> </t>
        </is>
      </c>
      <c r="M22" s="48" t="inlineStr">
        <is>
          <t> </t>
        </is>
      </c>
      <c r="N22" s="48" t="inlineStr">
        <is>
          <t>40h</t>
        </is>
      </c>
      <c r="O22" s="48" t="inlineStr">
        <is>
          <t> </t>
        </is>
      </c>
    </row>
    <row r="23" ht="15.75" customHeight="1" s="121">
      <c r="A23" s="47" t="n">
        <v>67</v>
      </c>
      <c r="B23" s="48" t="inlineStr">
        <is>
          <t>생산일지&gt;생산팀 관리일지</t>
        </is>
      </c>
      <c r="C23" s="48" t="inlineStr">
        <is>
          <t>Daily Report Management&gt;Production Daily Report</t>
        </is>
      </c>
      <c r="D23" s="48" t="inlineStr">
        <is>
          <t>GMES_IM_POM</t>
        </is>
      </c>
      <c r="E23" s="48" t="inlineStr">
        <is>
          <t>GMES_IMES_0275</t>
        </is>
      </c>
      <c r="F23" s="48" t="inlineStr">
        <is>
          <t>소분량점검 일지</t>
        </is>
      </c>
      <c r="G23" s="48" t="inlineStr">
        <is>
          <t>Subdivision Check Report</t>
        </is>
      </c>
      <c r="H23" s="48" t="inlineStr">
        <is>
          <t>Nhật ký kiểm tra khối lượng chia nhỏ</t>
        </is>
      </c>
      <c r="I23" s="48" t="n">
        <v>0</v>
      </c>
      <c r="J23" s="87" t="inlineStr">
        <is>
          <t>TODO</t>
        </is>
      </c>
      <c r="K23" s="95" t="inlineStr">
        <is>
          <t>Eddie</t>
        </is>
      </c>
      <c r="L23" s="48" t="inlineStr">
        <is>
          <t> </t>
        </is>
      </c>
      <c r="M23" s="48" t="inlineStr">
        <is>
          <t> </t>
        </is>
      </c>
      <c r="N23" s="48" t="n"/>
      <c r="O23" s="48" t="inlineStr">
        <is>
          <t> </t>
        </is>
      </c>
    </row>
    <row r="24" ht="15.75" customHeight="1" s="121">
      <c r="A24" s="47" t="n">
        <v>69</v>
      </c>
      <c r="B24" s="48" t="inlineStr">
        <is>
          <t>생산일지&gt;생산팀 관리일지</t>
        </is>
      </c>
      <c r="C24" s="48" t="inlineStr">
        <is>
          <t>Daily Report Management&gt;Production Daily Report</t>
        </is>
      </c>
      <c r="D24" s="48" t="inlineStr">
        <is>
          <t>GMES_IM_POM</t>
        </is>
      </c>
      <c r="E24" s="48" t="inlineStr">
        <is>
          <t>GMES_IMES_0277</t>
        </is>
      </c>
      <c r="F24" s="48" t="inlineStr">
        <is>
          <t>공정일지[차수]</t>
        </is>
      </c>
      <c r="G24" s="48" t="inlineStr">
        <is>
          <t>Process Daily Record [Order]</t>
        </is>
      </c>
      <c r="H24" s="48" t="inlineStr">
        <is>
          <t>Nhật ký công đoạn [Ca/Đợt]</t>
        </is>
      </c>
      <c r="I24" s="48" t="n">
        <v>0</v>
      </c>
      <c r="J24" s="87" t="inlineStr">
        <is>
          <t>TODO</t>
        </is>
      </c>
      <c r="K24" s="95" t="inlineStr">
        <is>
          <t>Eddie</t>
        </is>
      </c>
      <c r="L24" s="48" t="inlineStr">
        <is>
          <t> </t>
        </is>
      </c>
      <c r="M24" s="48" t="inlineStr">
        <is>
          <t> </t>
        </is>
      </c>
      <c r="N24" s="48" t="n"/>
      <c r="O24" s="48" t="inlineStr">
        <is>
          <t> </t>
        </is>
      </c>
    </row>
    <row r="25" ht="15.75" customHeight="1" s="121">
      <c r="A25" s="47" t="n">
        <v>71</v>
      </c>
      <c r="B25" s="48" t="inlineStr">
        <is>
          <t>협력사일지&gt;협력사 관리일지</t>
        </is>
      </c>
      <c r="C25" s="48" t="inlineStr">
        <is>
          <t>Outsourced Company Daily Report Management&gt;Daily Report Management</t>
        </is>
      </c>
      <c r="D25" s="48" t="inlineStr">
        <is>
          <t>GMES_IM_POM</t>
        </is>
      </c>
      <c r="E25" s="48" t="inlineStr">
        <is>
          <t>GMES_IMES_0272</t>
        </is>
      </c>
      <c r="F25" s="48" t="inlineStr">
        <is>
          <t>프로에스컴 일지관리</t>
        </is>
      </c>
      <c r="G25" s="48" t="inlineStr">
        <is>
          <t>Report Management</t>
        </is>
      </c>
      <c r="H25" s="48" t="inlineStr">
        <is>
          <t>Quản lý nhật ký Proescom</t>
        </is>
      </c>
      <c r="I25" s="48" t="n">
        <v>0</v>
      </c>
      <c r="J25" s="87" t="inlineStr">
        <is>
          <t>TODO</t>
        </is>
      </c>
      <c r="K25" s="97" t="inlineStr">
        <is>
          <t>Eddie</t>
        </is>
      </c>
      <c r="L25" s="48" t="inlineStr">
        <is>
          <t> </t>
        </is>
      </c>
      <c r="M25" s="48" t="inlineStr">
        <is>
          <t> </t>
        </is>
      </c>
      <c r="N25" s="48" t="n"/>
      <c r="O25" s="48" t="inlineStr">
        <is>
          <t>This is the same sceen but serve diffenrent purpose and have different KOR name</t>
        </is>
      </c>
    </row>
    <row r="26" ht="15.75" customHeight="1" s="121">
      <c r="A26" s="47" t="n">
        <v>77</v>
      </c>
      <c r="B26" s="48" t="inlineStr">
        <is>
          <t>시스템관리&gt;개발자 관리</t>
        </is>
      </c>
      <c r="C26" s="48" t="inlineStr">
        <is>
          <t>System Manangement&gt;Developer Management</t>
        </is>
      </c>
      <c r="D26" s="48" t="inlineStr">
        <is>
          <t>GMES_IM_POM</t>
        </is>
      </c>
      <c r="E26" s="48" t="inlineStr">
        <is>
          <t>GMES_IMES_4000</t>
        </is>
      </c>
      <c r="F26" s="48" t="inlineStr">
        <is>
          <t>Biz Rule 조회</t>
        </is>
      </c>
      <c r="G26" s="48" t="inlineStr">
        <is>
          <t>Biz Rule query</t>
        </is>
      </c>
      <c r="H26" s="48" t="inlineStr">
        <is>
          <t>Tra cứu Biz Rule</t>
        </is>
      </c>
      <c r="I26" s="48" t="n">
        <v>0</v>
      </c>
      <c r="J26" s="87" t="inlineStr">
        <is>
          <t>TODO</t>
        </is>
      </c>
      <c r="K26" s="97" t="inlineStr">
        <is>
          <t>Eddie</t>
        </is>
      </c>
      <c r="L26" s="48" t="inlineStr">
        <is>
          <t> </t>
        </is>
      </c>
      <c r="M26" s="48" t="inlineStr">
        <is>
          <t> </t>
        </is>
      </c>
      <c r="N26" s="61" t="n"/>
      <c r="O26" s="48" t="inlineStr">
        <is>
          <t> </t>
        </is>
      </c>
    </row>
    <row r="27" ht="15.75" customHeight="1" s="121">
      <c r="A27" s="45" t="n">
        <v>26</v>
      </c>
      <c r="B27" s="46" t="inlineStr">
        <is>
          <t>생산실적&gt;정보조회</t>
        </is>
      </c>
      <c r="C27" s="46" t="inlineStr">
        <is>
          <t>Production Result&gt;information inquiry</t>
        </is>
      </c>
      <c r="D27" s="46" t="inlineStr">
        <is>
          <t>GMES_IM_POM</t>
        </is>
      </c>
      <c r="E27" s="46" t="inlineStr">
        <is>
          <t>GMES_IMES_0239</t>
        </is>
      </c>
      <c r="F27" s="46" t="inlineStr">
        <is>
          <t>소성점검 일지</t>
        </is>
      </c>
      <c r="G27" s="46" t="inlineStr">
        <is>
          <t>RHK Check Report</t>
        </is>
      </c>
      <c r="H27" s="46" t="inlineStr">
        <is>
          <t>Nhật ký kiểm tra nung</t>
        </is>
      </c>
      <c r="I27" s="46" t="n">
        <v>0</v>
      </c>
      <c r="J27" s="86" t="inlineStr">
        <is>
          <t>TODO</t>
        </is>
      </c>
      <c r="K27" s="98" t="inlineStr">
        <is>
          <t>Hughie</t>
        </is>
      </c>
      <c r="L27" s="46" t="inlineStr">
        <is>
          <t> </t>
        </is>
      </c>
      <c r="M27" s="46" t="inlineStr">
        <is>
          <t> </t>
        </is>
      </c>
      <c r="N27" s="61" t="inlineStr">
        <is>
          <t>40h</t>
        </is>
      </c>
      <c r="O27" s="46" t="inlineStr">
        <is>
          <t xml:space="preserve"> 1 Grid , 1 search, 1 page popup research, excel</t>
        </is>
      </c>
    </row>
    <row r="28" ht="36.75" customHeight="1" s="121">
      <c r="A28" s="45" t="n">
        <v>48</v>
      </c>
      <c r="B28" s="46" t="inlineStr">
        <is>
          <t>재고관리&gt;재고마감</t>
        </is>
      </c>
      <c r="C28" s="46" t="inlineStr">
        <is>
          <t>Inventory Management&gt;inventory closing</t>
        </is>
      </c>
      <c r="D28" s="46" t="inlineStr">
        <is>
          <t>GMES_IM_POM</t>
        </is>
      </c>
      <c r="E28" s="46" t="inlineStr">
        <is>
          <t>GMES_IMES_2612</t>
        </is>
      </c>
      <c r="F28" s="46" t="inlineStr">
        <is>
          <t>생산마감</t>
        </is>
      </c>
      <c r="G28" s="46" t="inlineStr">
        <is>
          <t>Production Closing</t>
        </is>
      </c>
      <c r="H28" s="46" t="inlineStr">
        <is>
          <t>Đóng sản xuất</t>
        </is>
      </c>
      <c r="I28" s="46" t="n">
        <v>9</v>
      </c>
      <c r="J28" s="86" t="inlineStr">
        <is>
          <t>TODO</t>
        </is>
      </c>
      <c r="K28" s="98" t="inlineStr">
        <is>
          <t>Hughie</t>
        </is>
      </c>
      <c r="L28" s="46" t="inlineStr">
        <is>
          <t> </t>
        </is>
      </c>
      <c r="M28" s="46" t="inlineStr">
        <is>
          <t> </t>
        </is>
      </c>
      <c r="N28" s="60" t="inlineStr">
        <is>
          <t>80h</t>
        </is>
      </c>
      <c r="O28" s="46" t="inlineStr">
        <is>
          <t>6 tab 6 grid,</t>
        </is>
      </c>
    </row>
    <row r="29" ht="31.5" customHeight="1" s="121">
      <c r="A29" s="45" t="n">
        <v>56</v>
      </c>
      <c r="B29" s="46" t="inlineStr">
        <is>
          <t>재고관리&gt;ERP I/F</t>
        </is>
      </c>
      <c r="C29" s="46" t="inlineStr">
        <is>
          <t>Inventory Management&gt;ERP I/F</t>
        </is>
      </c>
      <c r="D29" s="46" t="inlineStr">
        <is>
          <t>GMES_POM</t>
        </is>
      </c>
      <c r="E29" s="46" t="inlineStr">
        <is>
          <t>GMES_IMS_0926</t>
        </is>
      </c>
      <c r="F29" s="46" t="inlineStr">
        <is>
          <t>재고실사 ERP반영</t>
        </is>
      </c>
      <c r="G29" s="46" t="inlineStr">
        <is>
          <t>Send Variance to ER</t>
        </is>
      </c>
      <c r="H29" s="46" t="inlineStr">
        <is>
          <t>Phản ánh kiểm kê vào ERP</t>
        </is>
      </c>
      <c r="I29" s="46" t="n">
        <v>0</v>
      </c>
      <c r="J29" s="86" t="inlineStr">
        <is>
          <t>TODO</t>
        </is>
      </c>
      <c r="K29" s="98" t="inlineStr">
        <is>
          <t>Hughie</t>
        </is>
      </c>
      <c r="L29" s="46" t="inlineStr">
        <is>
          <t> </t>
        </is>
      </c>
      <c r="M29" s="46" t="inlineStr">
        <is>
          <t> </t>
        </is>
      </c>
      <c r="N29" s="46" t="inlineStr">
        <is>
          <t>40h</t>
        </is>
      </c>
      <c r="O29" s="109" t="inlineStr">
        <is>
          <t>1 grid, search, 5 excel. Query ERP stock-gap disbursement + send difference to ERP (PP0547 SO) + update send flag. 5 BizActors.</t>
        </is>
      </c>
    </row>
    <row r="30" ht="15.75" customHeight="1" s="121">
      <c r="A30" s="45" t="n">
        <v>50</v>
      </c>
      <c r="B30" s="46" t="inlineStr">
        <is>
          <t>재고관리&gt;정보조회</t>
        </is>
      </c>
      <c r="C30" s="46" t="inlineStr">
        <is>
          <t>Inventory Management&gt;Information inquiry</t>
        </is>
      </c>
      <c r="D30" s="46" t="inlineStr">
        <is>
          <t>GMES_IM_POM</t>
        </is>
      </c>
      <c r="E30" s="46" t="inlineStr">
        <is>
          <t>GMES_IMES_0560</t>
        </is>
      </c>
      <c r="F30" s="46" t="inlineStr">
        <is>
          <t>재고 관리 현황</t>
        </is>
      </c>
      <c r="G30" s="46" t="inlineStr">
        <is>
          <t>Stock list management list</t>
        </is>
      </c>
      <c r="H30" s="46" t="inlineStr">
        <is>
          <t>Tình trạng quản lý tồn kho</t>
        </is>
      </c>
      <c r="I30" s="46" t="n">
        <v>6</v>
      </c>
      <c r="J30" s="86" t="inlineStr">
        <is>
          <t>TODO</t>
        </is>
      </c>
      <c r="K30" s="98" t="inlineStr">
        <is>
          <t>Hughie</t>
        </is>
      </c>
      <c r="L30" s="46" t="inlineStr">
        <is>
          <t> </t>
        </is>
      </c>
      <c r="M30" s="46" t="inlineStr">
        <is>
          <t> </t>
        </is>
      </c>
      <c r="N30" s="46" t="inlineStr">
        <is>
          <t>80h</t>
        </is>
      </c>
      <c r="O30" s="109" t="inlineStr">
        <is>
          <t>1 master grid w/ 4 dynamic layouts (Plan/PlanB/NCR/Hold) + tabs. 6 sub-popups (0560_01~06) for abnormal stock/rack mgmt. 6 BizActors + sub-screens.</t>
        </is>
      </c>
    </row>
    <row r="31" ht="31.5" customHeight="1" s="121">
      <c r="A31" s="45" t="n">
        <v>52</v>
      </c>
      <c r="B31" s="46" t="inlineStr">
        <is>
          <t>재고관리&gt;ERP I/F</t>
        </is>
      </c>
      <c r="C31" s="46" t="inlineStr">
        <is>
          <t>Inventory Management&gt;ERP I/F</t>
        </is>
      </c>
      <c r="D31" s="46" t="inlineStr">
        <is>
          <t>GMES_IM_POM</t>
        </is>
      </c>
      <c r="E31" s="46" t="inlineStr">
        <is>
          <t>GMES_IMES_0531</t>
        </is>
      </c>
      <c r="F31" s="46" t="inlineStr">
        <is>
          <t>ERP I/F 결과 [이전전기]</t>
        </is>
      </c>
      <c r="G31" s="46" t="inlineStr">
        <is>
          <t>ERP I/F [Transfer]</t>
        </is>
      </c>
      <c r="H31" s="46" t="inlineStr">
        <is>
          <t>Kết quả I/F ERP [Kỳ trước]</t>
        </is>
      </c>
      <c r="I31" s="46" t="n">
        <v>0</v>
      </c>
      <c r="J31" s="86" t="inlineStr">
        <is>
          <t>TODO</t>
        </is>
      </c>
      <c r="K31" s="98" t="inlineStr">
        <is>
          <t>Hughie</t>
        </is>
      </c>
      <c r="L31" s="46" t="inlineStr">
        <is>
          <t> </t>
        </is>
      </c>
      <c r="M31" s="46" t="inlineStr">
        <is>
          <t> </t>
        </is>
      </c>
      <c r="N31" s="46" t="inlineStr">
        <is>
          <t>24h</t>
        </is>
      </c>
      <c r="O31" s="109" t="inlineStr">
        <is>
          <t>1 grid, search, excel. ERP I/F result [prev period] query only (WIPCLOSE / MOVESTOCK). 3 BizActors.</t>
        </is>
      </c>
    </row>
    <row r="32" ht="33" customHeight="1" s="121">
      <c r="A32" s="45" t="n">
        <v>924</v>
      </c>
      <c r="B32" s="46" t="inlineStr">
        <is>
          <t>재고관리&gt;ERP I/F</t>
        </is>
      </c>
      <c r="C32" s="46" t="inlineStr">
        <is>
          <t>Inventory Management&gt;ERP I/F</t>
        </is>
      </c>
      <c r="D32" s="46" t="inlineStr">
        <is>
          <t>GMES_POM</t>
        </is>
      </c>
      <c r="E32" s="46" t="inlineStr">
        <is>
          <t>GMES_IMS_0924</t>
        </is>
      </c>
      <c r="F32" s="46" t="inlineStr">
        <is>
          <t>재고실사 입력</t>
        </is>
      </c>
      <c r="G32" s="46" t="inlineStr">
        <is>
          <t>Cycle Count Entry</t>
        </is>
      </c>
      <c r="H32" s="46" t="inlineStr">
        <is>
          <t>Nhập kiểm kê tồn kho</t>
        </is>
      </c>
      <c r="I32" s="46" t="n">
        <v>0</v>
      </c>
      <c r="J32" s="86" t="inlineStr">
        <is>
          <t>TODO</t>
        </is>
      </c>
      <c r="K32" s="98" t="inlineStr">
        <is>
          <t>Hughie</t>
        </is>
      </c>
      <c r="L32" s="46" t="inlineStr">
        <is>
          <t> </t>
        </is>
      </c>
      <c r="M32" s="46" t="inlineStr">
        <is>
          <t> </t>
        </is>
      </c>
      <c r="N32" s="46" t="inlineStr">
        <is>
          <t>40h</t>
        </is>
      </c>
      <c r="O32" s="109" t="inlineStr">
        <is>
          <t>1 grid, search, excel, print. Cycle-count entry: check close status + get month stock + update close result. 4 BizActors.</t>
        </is>
      </c>
    </row>
    <row r="33" ht="32.25" customHeight="1" s="121">
      <c r="A33" s="45" t="n">
        <v>70</v>
      </c>
      <c r="B33" s="46" t="inlineStr">
        <is>
          <t>생산일지&gt;정보조회</t>
        </is>
      </c>
      <c r="C33" s="46" t="inlineStr">
        <is>
          <t>Daily Report Management&gt;Information inquiry</t>
        </is>
      </c>
      <c r="D33" s="46" t="inlineStr">
        <is>
          <t>GMES_IM_POM</t>
        </is>
      </c>
      <c r="E33" s="46" t="inlineStr">
        <is>
          <t>GMES_IMES_0279</t>
        </is>
      </c>
      <c r="F33" s="46" t="inlineStr">
        <is>
          <t>일지 현황판</t>
        </is>
      </c>
      <c r="G33" s="46" t="inlineStr">
        <is>
          <t>DailyRecord Dashboard</t>
        </is>
      </c>
      <c r="H33" s="46" t="inlineStr">
        <is>
          <t>Bảng tình trạng nhật ký</t>
        </is>
      </c>
      <c r="I33" s="46" t="n">
        <v>0</v>
      </c>
      <c r="J33" s="86" t="inlineStr">
        <is>
          <t>TODO</t>
        </is>
      </c>
      <c r="K33" s="98" t="inlineStr">
        <is>
          <t>Hughie</t>
        </is>
      </c>
      <c r="L33" s="46" t="inlineStr">
        <is>
          <t> </t>
        </is>
      </c>
      <c r="M33" s="46" t="inlineStr">
        <is>
          <t> </t>
        </is>
      </c>
      <c r="N33" s="46" t="inlineStr">
        <is>
          <t>40h</t>
        </is>
      </c>
      <c r="O33" s="109" t="inlineStr">
        <is>
          <t>1 grid dashboard, 4 combo, 5 excel. Daily-record dashboard (month/day/week, template, type). 8 BizActors.</t>
        </is>
      </c>
    </row>
    <row r="34" ht="15.75" customHeight="1" s="121">
      <c r="A34" s="47" t="n">
        <v>312</v>
      </c>
      <c r="B34" s="48" t="inlineStr">
        <is>
          <t>생산실적&gt;정보조회</t>
        </is>
      </c>
      <c r="C34" s="48" t="inlineStr">
        <is>
          <t>Production Result&gt;information inquiry</t>
        </is>
      </c>
      <c r="D34" s="48" t="inlineStr">
        <is>
          <t>GMES_IM_POM</t>
        </is>
      </c>
      <c r="E34" s="48" t="inlineStr">
        <is>
          <t>GMES_IMES_0312</t>
        </is>
      </c>
      <c r="F34" s="48" t="inlineStr">
        <is>
          <t>재처리실적 조회[관리자]</t>
        </is>
      </c>
      <c r="G34" s="48" t="inlineStr">
        <is>
          <t>Rework History Inquiry[For Manager]</t>
        </is>
      </c>
      <c r="H34" s="48" t="inlineStr">
        <is>
          <t>Tra cứu thành tích tái xử lý [Quản trị]</t>
        </is>
      </c>
      <c r="I34" s="48" t="n">
        <v>1</v>
      </c>
      <c r="J34" s="87" t="inlineStr">
        <is>
          <t>TODO</t>
        </is>
      </c>
      <c r="K34" s="99" t="inlineStr">
        <is>
          <t>Hughie</t>
        </is>
      </c>
      <c r="L34" s="48" t="inlineStr">
        <is>
          <t> </t>
        </is>
      </c>
      <c r="M34" s="48" t="inlineStr">
        <is>
          <t> </t>
        </is>
      </c>
      <c r="N34" s="48" t="inlineStr">
        <is>
          <t>40h</t>
        </is>
      </c>
      <c r="O34" s="119" t="inlineStr">
        <is>
          <t>1 grid, 6 combo search, excel. Rework result inquiry (admin) + 1 detail popup (GMES_IMES_0311_01). 9 BizActors.</t>
        </is>
      </c>
    </row>
    <row r="35" ht="15.75" customHeight="1" s="121">
      <c r="A35" s="47" t="n">
        <v>530</v>
      </c>
      <c r="B35" s="48" t="inlineStr">
        <is>
          <t>재고관리&gt;ERP I/F</t>
        </is>
      </c>
      <c r="C35" s="48" t="inlineStr">
        <is>
          <t>Inventory Management&gt;ERP I/F</t>
        </is>
      </c>
      <c r="D35" s="48" t="inlineStr">
        <is>
          <t>GMES_IM_POM</t>
        </is>
      </c>
      <c r="E35" s="48" t="inlineStr">
        <is>
          <t>GMES_IMES_0530</t>
        </is>
      </c>
      <c r="F35" s="48" t="inlineStr">
        <is>
          <t>ERP I/F 결과 [실적]</t>
        </is>
      </c>
      <c r="G35" s="48" t="inlineStr">
        <is>
          <t>ERP I/F [Production]</t>
        </is>
      </c>
      <c r="H35" s="48" t="inlineStr">
        <is>
          <t>Kết quả I/F ERP [Thành tích]</t>
        </is>
      </c>
      <c r="I35" s="48" t="n">
        <v>0</v>
      </c>
      <c r="J35" s="87" t="inlineStr">
        <is>
          <t>TODO</t>
        </is>
      </c>
      <c r="K35" s="99" t="inlineStr">
        <is>
          <t>Hughie</t>
        </is>
      </c>
      <c r="L35" s="48" t="inlineStr">
        <is>
          <t> </t>
        </is>
      </c>
      <c r="M35" s="48" t="inlineStr">
        <is>
          <t> </t>
        </is>
      </c>
      <c r="N35" s="48" t="inlineStr">
        <is>
          <t>40h</t>
        </is>
      </c>
      <c r="O35" s="119" t="inlineStr">
        <is>
          <t>1 grid, 7 combo search, excel. ERP I/F result [production] + material input + update transfer flag. 12 BizActors.</t>
        </is>
      </c>
    </row>
    <row r="36" ht="15.75" customHeight="1" s="121">
      <c r="A36" s="47" t="n">
        <v>57</v>
      </c>
      <c r="B36" s="48" t="inlineStr">
        <is>
          <t>재고관리&gt;ERP I/F</t>
        </is>
      </c>
      <c r="C36" s="48" t="inlineStr">
        <is>
          <t>Inventory Management&gt;ERP I/F</t>
        </is>
      </c>
      <c r="D36" s="48" t="inlineStr">
        <is>
          <t>GMES_POM</t>
        </is>
      </c>
      <c r="E36" s="48" t="inlineStr">
        <is>
          <t>GMES_IMS_0927</t>
        </is>
      </c>
      <c r="F36" s="48" t="inlineStr">
        <is>
          <t>ERP 무상사급차후조정</t>
        </is>
      </c>
      <c r="G36" s="48" t="inlineStr">
        <is>
          <t>ERP Adjust TP Material</t>
        </is>
      </c>
      <c r="H36" s="48" t="inlineStr">
        <is>
          <t>Điều chỉnh hồi tố cấp phát miễn phí ERP</t>
        </is>
      </c>
      <c r="I36" s="48" t="n">
        <v>0</v>
      </c>
      <c r="J36" s="87" t="inlineStr">
        <is>
          <t>TODO</t>
        </is>
      </c>
      <c r="K36" s="99" t="inlineStr">
        <is>
          <t>Hughie</t>
        </is>
      </c>
      <c r="L36" s="48" t="inlineStr">
        <is>
          <t> </t>
        </is>
      </c>
      <c r="M36" s="48" t="inlineStr">
        <is>
          <t> </t>
        </is>
      </c>
      <c r="N36" s="48" t="inlineStr">
        <is>
          <t>40h</t>
        </is>
      </c>
      <c r="O36" s="119" t="inlineStr">
        <is>
          <t>2 grids (result + detail), excel. ERP free-supply retroactive adjust, send to ERP (MM0476 SO). 3 BizActors.</t>
        </is>
      </c>
    </row>
    <row r="37" ht="15.75" customHeight="1" s="121">
      <c r="A37" s="47" t="n">
        <v>31</v>
      </c>
      <c r="B37" s="48" t="inlineStr">
        <is>
          <t>생산실적&gt;정보조회</t>
        </is>
      </c>
      <c r="C37" s="48" t="inlineStr">
        <is>
          <t>Production Result&gt;information inquiry</t>
        </is>
      </c>
      <c r="D37" s="48" t="inlineStr">
        <is>
          <t>GMES_IM_POM</t>
        </is>
      </c>
      <c r="E37" s="48" t="inlineStr">
        <is>
          <t>GMES_IMES_0257</t>
        </is>
      </c>
      <c r="F37" s="48" t="inlineStr">
        <is>
          <t>DataLake 지표</t>
        </is>
      </c>
      <c r="G37" s="48" t="inlineStr">
        <is>
          <t>Yield(RTY) Change Action Management</t>
        </is>
      </c>
      <c r="H37" s="48" t="inlineStr">
        <is>
          <t>Chỉ số DataLake</t>
        </is>
      </c>
      <c r="I37" s="48" t="n">
        <v>0</v>
      </c>
      <c r="J37" s="87" t="inlineStr">
        <is>
          <t>TODO</t>
        </is>
      </c>
      <c r="K37" s="99" t="inlineStr">
        <is>
          <t>Hughie</t>
        </is>
      </c>
      <c r="L37" s="48" t="inlineStr">
        <is>
          <t> </t>
        </is>
      </c>
      <c r="M37" s="48" t="inlineStr">
        <is>
          <t> </t>
        </is>
      </c>
      <c r="N37" s="48" t="inlineStr">
        <is>
          <t>80h</t>
        </is>
      </c>
      <c r="O37" s="119" t="inlineStr">
        <is>
          <t>7 grids, 2 tabs. DataLake indicators w/ dynamic DA_SEL_FN_DL_* biz. 3 combo BizActors + dynamic FN calls.</t>
        </is>
      </c>
    </row>
    <row r="38" ht="25.5" customHeight="1" s="121">
      <c r="A38" s="47" t="n">
        <v>581</v>
      </c>
      <c r="B38" s="48" t="inlineStr">
        <is>
          <t>재고관리&gt;ERP I/F</t>
        </is>
      </c>
      <c r="C38" s="48" t="inlineStr">
        <is>
          <t>Inventory Management&gt;ERP I/F</t>
        </is>
      </c>
      <c r="D38" s="48" t="inlineStr">
        <is>
          <t>GMES_POM</t>
        </is>
      </c>
      <c r="E38" s="48" t="inlineStr">
        <is>
          <t>GMES_IMS_0581</t>
        </is>
      </c>
      <c r="F38" s="48" t="inlineStr">
        <is>
          <t>ERP 투입조정</t>
        </is>
      </c>
      <c r="G38" s="48" t="inlineStr">
        <is>
          <t>ERP Adust Input Mtl</t>
        </is>
      </c>
      <c r="H38" s="48" t="inlineStr">
        <is>
          <t>Điều chỉnh nhập liệu ERP</t>
        </is>
      </c>
      <c r="I38" s="48" t="n">
        <v>1</v>
      </c>
      <c r="J38" s="87" t="inlineStr">
        <is>
          <t>TODO</t>
        </is>
      </c>
      <c r="K38" s="99" t="inlineStr">
        <is>
          <t>Hughie</t>
        </is>
      </c>
      <c r="L38" s="48" t="inlineStr">
        <is>
          <t> </t>
        </is>
      </c>
      <c r="M38" s="48" t="inlineStr">
        <is>
          <t> </t>
        </is>
      </c>
      <c r="N38" s="48" t="inlineStr">
        <is>
          <t>80h</t>
        </is>
      </c>
      <c r="O38" s="119" t="inlineStr">
        <is>
          <t>2 grids. ERP input adjustment: validate + send + register WIP-close move (v2). 1 popup (GMES_COM_0021). 9 BizActors.</t>
        </is>
      </c>
    </row>
    <row r="39" ht="15.75" customHeight="1" s="121">
      <c r="A39" s="47" t="n">
        <v>63</v>
      </c>
      <c r="B39" s="48" t="inlineStr">
        <is>
          <t>재고관리&gt;ERP I/F</t>
        </is>
      </c>
      <c r="C39" s="48" t="inlineStr">
        <is>
          <t>Inventory Management&gt;ERP I/F</t>
        </is>
      </c>
      <c r="D39" s="48" t="inlineStr">
        <is>
          <t>GMES_POM</t>
        </is>
      </c>
      <c r="E39" s="48" t="n">
        <v>585</v>
      </c>
      <c r="F39" s="48" t="inlineStr">
        <is>
          <t>ERP 시점재고 I/F 이력조회</t>
        </is>
      </c>
      <c r="G39" s="48" t="inlineStr">
        <is>
          <t>ERP point-in-time inventory I/F history inquiry</t>
        </is>
      </c>
      <c r="H39" s="48" t="inlineStr">
        <is>
          <t>Tra cứu lịch sử I/F tồn kho theo thời điểm ERP</t>
        </is>
      </c>
      <c r="I39" s="48" t="n">
        <v>0</v>
      </c>
      <c r="J39" s="87" t="inlineStr">
        <is>
          <t>TODO</t>
        </is>
      </c>
      <c r="K39" s="99" t="inlineStr">
        <is>
          <t>Hughie</t>
        </is>
      </c>
      <c r="L39" s="48" t="inlineStr">
        <is>
          <t> </t>
        </is>
      </c>
      <c r="M39" s="48" t="inlineStr">
        <is>
          <t> </t>
        </is>
      </c>
      <c r="N39" s="48" t="inlineStr">
        <is>
          <t>40h</t>
        </is>
      </c>
      <c r="O39" s="119" t="inlineStr">
        <is>
          <t>2 grids (history + total/count), 3 combo, 11 excel. ERP point-in-time inventory I/F history inquiry. 4-5 BizActors.</t>
        </is>
      </c>
    </row>
    <row r="40" ht="15.75" customHeight="1" s="121">
      <c r="A40" s="45" t="n">
        <v>38</v>
      </c>
      <c r="B40" s="46" t="inlineStr">
        <is>
          <t>물류관리&gt;물류이동</t>
        </is>
      </c>
      <c r="C40" s="46" t="inlineStr">
        <is>
          <t>Logistics Management&gt;Transfer</t>
        </is>
      </c>
      <c r="D40" s="46" t="inlineStr">
        <is>
          <t>GMES_IM_POM</t>
        </is>
      </c>
      <c r="E40" s="46" t="inlineStr">
        <is>
          <t>GMES_IMES_0423</t>
        </is>
      </c>
      <c r="F40" s="46" t="inlineStr">
        <is>
          <t>자동창고 I/F 조회</t>
        </is>
      </c>
      <c r="G40" s="46" t="inlineStr">
        <is>
          <t>Automatic warehouse I/F inquiry</t>
        </is>
      </c>
      <c r="H40" s="46" t="inlineStr">
        <is>
          <t>Tra cứu I/F kho tự động</t>
        </is>
      </c>
      <c r="I40" s="46" t="n">
        <v>1</v>
      </c>
      <c r="J40" s="86" t="inlineStr">
        <is>
          <t>TODO</t>
        </is>
      </c>
      <c r="K40" s="91" t="inlineStr">
        <is>
          <t>Jack</t>
        </is>
      </c>
      <c r="L40" s="46" t="inlineStr">
        <is>
          <t> </t>
        </is>
      </c>
      <c r="M40" s="46" t="inlineStr">
        <is>
          <t> </t>
        </is>
      </c>
      <c r="N40" s="73" t="inlineStr">
        <is>
          <t>24h</t>
        </is>
      </c>
      <c r="O40" s="46" t="inlineStr">
        <is>
          <t xml:space="preserve"> Search(7 Field), Excel, 1 popup</t>
        </is>
      </c>
    </row>
    <row r="41" ht="15.75" customHeight="1" s="121">
      <c r="A41" s="45" t="n">
        <v>20</v>
      </c>
      <c r="B41" s="46" t="inlineStr">
        <is>
          <t>공정관리&gt;소포장관리</t>
        </is>
      </c>
      <c r="C41" s="46" t="inlineStr">
        <is>
          <t>Process Management&gt;Small Packing Management</t>
        </is>
      </c>
      <c r="D41" s="46" t="inlineStr">
        <is>
          <t>GMES_IM_POM</t>
        </is>
      </c>
      <c r="E41" s="46" t="inlineStr">
        <is>
          <t>GMES_IMES_0800</t>
        </is>
      </c>
      <c r="F41" s="46" t="inlineStr">
        <is>
          <t>소포장투입이력</t>
        </is>
      </c>
      <c r="G41" s="46" t="inlineStr">
        <is>
          <t>Small Packing Input Inquiry</t>
        </is>
      </c>
      <c r="H41" s="46" t="inlineStr">
        <is>
          <t>Lịch sử nhập đóng gói nhỏ</t>
        </is>
      </c>
      <c r="I41" s="46" t="n">
        <v>1</v>
      </c>
      <c r="J41" s="86" t="inlineStr">
        <is>
          <t>TODO</t>
        </is>
      </c>
      <c r="K41" s="94" t="inlineStr">
        <is>
          <t>Jack</t>
        </is>
      </c>
      <c r="L41" s="46" t="inlineStr">
        <is>
          <t> </t>
        </is>
      </c>
      <c r="M41" s="46" t="inlineStr">
        <is>
          <t> </t>
        </is>
      </c>
      <c r="N41" s="73" t="inlineStr">
        <is>
          <t>24h</t>
        </is>
      </c>
      <c r="O41" s="46" t="inlineStr">
        <is>
          <t xml:space="preserve"> Search(7 Field), Excel, 1 popup</t>
        </is>
      </c>
    </row>
    <row r="42" ht="15.75" customHeight="1" s="121">
      <c r="A42" s="45" t="n">
        <v>22</v>
      </c>
      <c r="B42" s="46" t="inlineStr">
        <is>
          <t>공정관리&gt;소포장관리</t>
        </is>
      </c>
      <c r="C42" s="46" t="inlineStr">
        <is>
          <t>Process Management&gt;Small Packing Management</t>
        </is>
      </c>
      <c r="D42" s="46" t="inlineStr">
        <is>
          <t>GMES_IM_POM</t>
        </is>
      </c>
      <c r="E42" s="46" t="inlineStr">
        <is>
          <t>GMES_IMES_0803</t>
        </is>
      </c>
      <c r="F42" s="46" t="inlineStr">
        <is>
          <t>GP소포장이력</t>
        </is>
      </c>
      <c r="G42" s="46" t="inlineStr">
        <is>
          <t>GP Small Packing History</t>
        </is>
      </c>
      <c r="H42" s="46" t="inlineStr">
        <is>
          <t>Lịch sử đóng gói nhỏ GP</t>
        </is>
      </c>
      <c r="I42" s="46" t="n">
        <v>1</v>
      </c>
      <c r="J42" s="86" t="inlineStr">
        <is>
          <t>TODO</t>
        </is>
      </c>
      <c r="K42" s="94" t="inlineStr">
        <is>
          <t>Jack</t>
        </is>
      </c>
      <c r="L42" s="46" t="inlineStr">
        <is>
          <t> </t>
        </is>
      </c>
      <c r="M42" s="46" t="inlineStr">
        <is>
          <t> </t>
        </is>
      </c>
      <c r="N42" s="73" t="inlineStr">
        <is>
          <t>24h</t>
        </is>
      </c>
      <c r="O42" s="46" t="inlineStr">
        <is>
          <t xml:space="preserve"> Search(7 Field), Excel, 1 popup</t>
        </is>
      </c>
    </row>
    <row r="43" ht="15.75" customFormat="1" customHeight="1" s="118">
      <c r="A43" s="113" t="n">
        <v>42</v>
      </c>
      <c r="B43" s="114" t="inlineStr">
        <is>
          <t>재고관리&gt;재고실사</t>
        </is>
      </c>
      <c r="C43" s="114" t="inlineStr">
        <is>
          <t>Inventory Management&gt;Inventory Investigation</t>
        </is>
      </c>
      <c r="D43" s="114" t="inlineStr">
        <is>
          <t>GMES_IM_POM</t>
        </is>
      </c>
      <c r="E43" s="114" t="inlineStr">
        <is>
          <t>GMES_IMES_2601_BM</t>
        </is>
      </c>
      <c r="F43" s="114" t="inlineStr">
        <is>
          <t>재고 수정</t>
        </is>
      </c>
      <c r="G43" s="114" t="inlineStr">
        <is>
          <t>Stock Adjustment</t>
        </is>
      </c>
      <c r="H43" s="114" t="inlineStr">
        <is>
          <t>Điều chỉnh tồn kho</t>
        </is>
      </c>
      <c r="I43" s="114" t="n">
        <v>0</v>
      </c>
      <c r="J43" s="115" t="inlineStr">
        <is>
          <t>TODO</t>
        </is>
      </c>
      <c r="K43" s="116" t="inlineStr">
        <is>
          <t>Jack</t>
        </is>
      </c>
      <c r="L43" s="114" t="inlineStr">
        <is>
          <t> </t>
        </is>
      </c>
      <c r="M43" s="114" t="inlineStr">
        <is>
          <t> </t>
        </is>
      </c>
      <c r="N43" s="117" t="n"/>
      <c r="O43" s="114" t="inlineStr">
        <is>
          <t>GMES_IMES_2601_BM not have source</t>
        </is>
      </c>
    </row>
    <row r="44" ht="15.75" customHeight="1" s="121">
      <c r="A44" s="45" t="n">
        <v>46</v>
      </c>
      <c r="B44" s="46" t="inlineStr">
        <is>
          <t>재고관리&gt;재고마감</t>
        </is>
      </c>
      <c r="C44" s="46" t="inlineStr">
        <is>
          <t>Inventory Management&gt;inventory closing</t>
        </is>
      </c>
      <c r="D44" s="46" t="inlineStr">
        <is>
          <t>GMES_POM</t>
        </is>
      </c>
      <c r="E44" s="46" t="inlineStr">
        <is>
          <t>GMES_IMS_2543</t>
        </is>
      </c>
      <c r="F44" s="46" t="inlineStr">
        <is>
          <t>MTM 조회 및 취소</t>
        </is>
      </c>
      <c r="G44" s="46" t="inlineStr">
        <is>
          <t>MTM Transact(RE)</t>
        </is>
      </c>
      <c r="H44" s="46" t="inlineStr">
        <is>
          <t>Tra cứu và hủy MTM</t>
        </is>
      </c>
      <c r="I44" s="46" t="n">
        <v>0</v>
      </c>
      <c r="J44" s="86" t="inlineStr">
        <is>
          <t>TODO</t>
        </is>
      </c>
      <c r="K44" s="94" t="inlineStr">
        <is>
          <t>Jack</t>
        </is>
      </c>
      <c r="L44" s="46" t="inlineStr">
        <is>
          <t> </t>
        </is>
      </c>
      <c r="M44" s="46" t="inlineStr">
        <is>
          <t> </t>
        </is>
      </c>
      <c r="N44" s="73" t="inlineStr">
        <is>
          <t>24h</t>
        </is>
      </c>
      <c r="O44" s="46" t="inlineStr">
        <is>
          <t xml:space="preserve"> Search(5 Field), 3 button</t>
        </is>
      </c>
    </row>
    <row r="45" ht="15.75" customHeight="1" s="121">
      <c r="A45" s="45" t="n">
        <v>66</v>
      </c>
      <c r="B45" s="46" t="inlineStr">
        <is>
          <t>생산일지&gt;생산팀 관리일지</t>
        </is>
      </c>
      <c r="C45" s="46" t="inlineStr">
        <is>
          <t>Daily Report Management&gt;Production Daily Report</t>
        </is>
      </c>
      <c r="D45" s="46" t="inlineStr">
        <is>
          <t>GMES_IM_POM</t>
        </is>
      </c>
      <c r="E45" s="46" t="inlineStr">
        <is>
          <t>GMES_IMES_0274</t>
        </is>
      </c>
      <c r="F45" s="46" t="inlineStr">
        <is>
          <t>가이드 이미지 관리</t>
        </is>
      </c>
      <c r="G45" s="46" t="inlineStr">
        <is>
          <t>Managing Guide Images</t>
        </is>
      </c>
      <c r="H45" s="46" t="inlineStr">
        <is>
          <t>Quản lý hình ảnh hướng dẫn</t>
        </is>
      </c>
      <c r="I45" s="46" t="n">
        <v>1</v>
      </c>
      <c r="J45" s="86" t="inlineStr">
        <is>
          <t>TODO</t>
        </is>
      </c>
      <c r="K45" s="94" t="inlineStr">
        <is>
          <t>Jack</t>
        </is>
      </c>
      <c r="L45" s="46" t="inlineStr">
        <is>
          <t> </t>
        </is>
      </c>
      <c r="M45" s="46" t="inlineStr">
        <is>
          <t> </t>
        </is>
      </c>
      <c r="N45" s="73" t="inlineStr">
        <is>
          <t>32h</t>
        </is>
      </c>
      <c r="O45" s="46" t="inlineStr">
        <is>
          <t>Search(4 Field), 3 button, 1 modify grid dynamic , 1 popup</t>
        </is>
      </c>
    </row>
    <row r="46" ht="15.75" customHeight="1" s="121">
      <c r="A46" s="47" t="n">
        <v>17</v>
      </c>
      <c r="B46" s="48" t="inlineStr">
        <is>
          <t>공정관리&gt;측정관리</t>
        </is>
      </c>
      <c r="C46" s="48" t="inlineStr">
        <is>
          <t>Process Management&gt;측정관리</t>
        </is>
      </c>
      <c r="D46" s="48" t="inlineStr">
        <is>
          <t>GMES_IM_POM</t>
        </is>
      </c>
      <c r="E46" s="48" t="inlineStr">
        <is>
          <t>GMES_IMES_0241</t>
        </is>
      </c>
      <c r="F46" s="48" t="inlineStr">
        <is>
          <t>산소,용기 원단위 제품별 산출조회</t>
        </is>
      </c>
      <c r="G46" s="48" t="inlineStr">
        <is>
          <t>Calculation check by product</t>
        </is>
      </c>
      <c r="H46" s="48" t="inlineStr">
        <is>
          <t>Tra cứu định mức oxy/bình chứa theo sản phẩm</t>
        </is>
      </c>
      <c r="I46" s="48" t="n">
        <v>1</v>
      </c>
      <c r="J46" s="87" t="inlineStr">
        <is>
          <t>TODO</t>
        </is>
      </c>
      <c r="K46" s="91" t="inlineStr">
        <is>
          <t>Jack</t>
        </is>
      </c>
      <c r="L46" s="48" t="inlineStr">
        <is>
          <t> </t>
        </is>
      </c>
      <c r="M46" s="48" t="inlineStr">
        <is>
          <t> </t>
        </is>
      </c>
      <c r="N46" s="72" t="inlineStr">
        <is>
          <t>32h</t>
        </is>
      </c>
      <c r="O46" s="48" t="inlineStr">
        <is>
          <t>Search(), 4 button, 1 popup</t>
        </is>
      </c>
    </row>
    <row r="47" ht="15.75" customHeight="1" s="121">
      <c r="A47" s="47" t="n">
        <v>19</v>
      </c>
      <c r="B47" s="48" t="inlineStr">
        <is>
          <t>공정관리&gt;소포장관리</t>
        </is>
      </c>
      <c r="C47" s="48" t="inlineStr">
        <is>
          <t>Process Management&gt;Small Packing Management</t>
        </is>
      </c>
      <c r="D47" s="48" t="inlineStr">
        <is>
          <t>GMES_IM_POM</t>
        </is>
      </c>
      <c r="E47" s="48" t="inlineStr">
        <is>
          <t>GMES_IMES_0801</t>
        </is>
      </c>
      <c r="F47" s="48" t="inlineStr">
        <is>
          <t>소포장LOT조회</t>
        </is>
      </c>
      <c r="G47" s="48" t="inlineStr">
        <is>
          <t>Small Packing Lot Inquiry</t>
        </is>
      </c>
      <c r="H47" s="48" t="inlineStr">
        <is>
          <t>Tra cứu Lot đóng gói nhỏ</t>
        </is>
      </c>
      <c r="I47" s="48" t="n">
        <v>3</v>
      </c>
      <c r="J47" s="87" t="inlineStr">
        <is>
          <t>TODO</t>
        </is>
      </c>
      <c r="K47" s="91" t="inlineStr">
        <is>
          <t>Jack</t>
        </is>
      </c>
      <c r="L47" s="48" t="inlineStr">
        <is>
          <t> </t>
        </is>
      </c>
      <c r="M47" s="48" t="inlineStr">
        <is>
          <t> </t>
        </is>
      </c>
      <c r="N47" s="72" t="inlineStr">
        <is>
          <t>32h</t>
        </is>
      </c>
      <c r="O47" s="48" t="inlineStr">
        <is>
          <t xml:space="preserve"> Search(7 Field), 4 Lable, 3 popup, Create(2 grid)</t>
        </is>
      </c>
    </row>
    <row r="48" ht="32.25" customHeight="1" s="121">
      <c r="A48" s="47" t="n">
        <v>27</v>
      </c>
      <c r="B48" s="48" t="inlineStr">
        <is>
          <t>생산실적&gt;정보조회</t>
        </is>
      </c>
      <c r="C48" s="48" t="inlineStr">
        <is>
          <t>Production Result&gt;information inquiry</t>
        </is>
      </c>
      <c r="D48" s="48" t="inlineStr">
        <is>
          <t>GMES_IM_POM</t>
        </is>
      </c>
      <c r="E48" s="48" t="inlineStr">
        <is>
          <t>GMES_IMES_0315</t>
        </is>
      </c>
      <c r="F48" s="48" t="inlineStr">
        <is>
          <t>소성Capa. 조회</t>
        </is>
      </c>
      <c r="G48" s="48" t="inlineStr">
        <is>
          <t>RHK Capa. Inquiry</t>
        </is>
      </c>
      <c r="H48" s="48" t="inlineStr">
        <is>
          <t>Tra cứu công suất nung</t>
        </is>
      </c>
      <c r="I48" s="48" t="n">
        <v>0</v>
      </c>
      <c r="J48" s="87" t="inlineStr">
        <is>
          <t>TODO</t>
        </is>
      </c>
      <c r="K48" s="97" t="inlineStr">
        <is>
          <t>Jack</t>
        </is>
      </c>
      <c r="L48" s="48" t="inlineStr">
        <is>
          <t> </t>
        </is>
      </c>
      <c r="M48" s="48" t="inlineStr">
        <is>
          <t> </t>
        </is>
      </c>
      <c r="N48" s="72" t="inlineStr">
        <is>
          <t>24h</t>
        </is>
      </c>
      <c r="O48" s="48" t="inlineStr">
        <is>
          <t xml:space="preserve"> Search (6 Field), excel</t>
        </is>
      </c>
    </row>
    <row r="49" ht="48" customHeight="1" s="121">
      <c r="A49" s="47" t="n">
        <v>43</v>
      </c>
      <c r="B49" s="48" t="inlineStr">
        <is>
          <t>재고관리&gt;재고실사</t>
        </is>
      </c>
      <c r="C49" s="48" t="inlineStr">
        <is>
          <t>Inventory Management&gt;Inventory Investigation</t>
        </is>
      </c>
      <c r="D49" s="48" t="inlineStr">
        <is>
          <t>GMES_IM_POM</t>
        </is>
      </c>
      <c r="E49" s="48" t="inlineStr">
        <is>
          <t>GMES_IMES_2602</t>
        </is>
      </c>
      <c r="F49" s="48" t="inlineStr">
        <is>
          <t>재공 조정</t>
        </is>
      </c>
      <c r="G49" s="48" t="inlineStr">
        <is>
          <t>Workpiece adjustment</t>
        </is>
      </c>
      <c r="H49" s="48" t="inlineStr">
        <is>
          <t>Điều chỉnh bán thành phẩm</t>
        </is>
      </c>
      <c r="I49" s="48" t="n">
        <v>0</v>
      </c>
      <c r="J49" s="87" t="inlineStr">
        <is>
          <t>TODO</t>
        </is>
      </c>
      <c r="K49" s="95" t="inlineStr">
        <is>
          <t>Jack</t>
        </is>
      </c>
      <c r="L49" s="48" t="inlineStr">
        <is>
          <t> </t>
        </is>
      </c>
      <c r="M49" s="48" t="inlineStr">
        <is>
          <t> </t>
        </is>
      </c>
      <c r="N49" s="72" t="inlineStr">
        <is>
          <t>32h</t>
        </is>
      </c>
      <c r="O49" s="48" t="inlineStr">
        <is>
          <t xml:space="preserve"> Search(6 Field), 2 grid dynamic, excel, 6 button (Search, page, delete, excel)</t>
        </is>
      </c>
    </row>
    <row r="50" ht="15.75" customHeight="1" s="121">
      <c r="A50" s="47" t="n">
        <v>49</v>
      </c>
      <c r="B50" s="48" t="inlineStr">
        <is>
          <t>재고관리&gt;정보조회</t>
        </is>
      </c>
      <c r="C50" s="48" t="inlineStr">
        <is>
          <t>Inventory Management&gt;Information inquiry</t>
        </is>
      </c>
      <c r="D50" s="48" t="inlineStr">
        <is>
          <t>GMES_IM_POM</t>
        </is>
      </c>
      <c r="E50" s="48" t="inlineStr">
        <is>
          <t>GMES_IMES_0555</t>
        </is>
      </c>
      <c r="F50" s="48" t="inlineStr">
        <is>
          <t>창고 현황 조회</t>
        </is>
      </c>
      <c r="G50" s="48" t="inlineStr">
        <is>
          <t>Warehouse Search</t>
        </is>
      </c>
      <c r="H50" s="48" t="inlineStr">
        <is>
          <t>Tra cứu tình trạng kho</t>
        </is>
      </c>
      <c r="I50" s="48" t="n">
        <v>0</v>
      </c>
      <c r="J50" s="87" t="inlineStr">
        <is>
          <t>TODO</t>
        </is>
      </c>
      <c r="K50" s="95" t="inlineStr">
        <is>
          <t>Jack</t>
        </is>
      </c>
      <c r="L50" s="48" t="inlineStr">
        <is>
          <t> </t>
        </is>
      </c>
      <c r="M50" s="48" t="inlineStr">
        <is>
          <t> </t>
        </is>
      </c>
      <c r="N50" s="61" t="inlineStr">
        <is>
          <t>24h</t>
        </is>
      </c>
      <c r="O50" s="48" t="inlineStr">
        <is>
          <t xml:space="preserve"> Search(11 Field), Excel</t>
        </is>
      </c>
    </row>
    <row r="51" ht="15.75" customHeight="1" s="121">
      <c r="A51" s="47" t="n">
        <v>73</v>
      </c>
      <c r="B51" s="48" t="inlineStr">
        <is>
          <t>협력사일지&gt;정보조회</t>
        </is>
      </c>
      <c r="C51" s="48" t="inlineStr">
        <is>
          <t>Outsourced Company Daily Report Management&gt;Information inquiry</t>
        </is>
      </c>
      <c r="D51" s="48" t="inlineStr">
        <is>
          <t>GMES_IM_POM</t>
        </is>
      </c>
      <c r="E51" s="48" t="inlineStr">
        <is>
          <t>GMES_IMES_0279</t>
        </is>
      </c>
      <c r="F51" s="48" t="inlineStr">
        <is>
          <t>일지 현황판</t>
        </is>
      </c>
      <c r="G51" s="48" t="inlineStr">
        <is>
          <t>DailyRecord Dashboard</t>
        </is>
      </c>
      <c r="H51" s="48" t="inlineStr">
        <is>
          <t>Bảng tình trạng nhật ký</t>
        </is>
      </c>
      <c r="I51" s="48" t="n">
        <v>0</v>
      </c>
      <c r="J51" s="87" t="inlineStr">
        <is>
          <t>TODO</t>
        </is>
      </c>
      <c r="K51" s="97" t="inlineStr">
        <is>
          <t>Jack</t>
        </is>
      </c>
      <c r="L51" s="48" t="inlineStr">
        <is>
          <t> </t>
        </is>
      </c>
      <c r="M51" s="48" t="inlineStr">
        <is>
          <t> </t>
        </is>
      </c>
      <c r="N51" s="61" t="inlineStr">
        <is>
          <t>24h</t>
        </is>
      </c>
      <c r="O51" s="48" t="inlineStr">
        <is>
          <t xml:space="preserve"> Search(4 Field), Excel</t>
        </is>
      </c>
    </row>
    <row r="52" ht="15.75" customHeight="1" s="121">
      <c r="A52" s="47" t="n">
        <v>65</v>
      </c>
      <c r="B52" s="48" t="inlineStr">
        <is>
          <t>생산일지&gt;생산팀 관리일지</t>
        </is>
      </c>
      <c r="C52" s="48" t="inlineStr">
        <is>
          <t>Daily Report Management&gt;Production Daily Report</t>
        </is>
      </c>
      <c r="D52" s="48" t="inlineStr">
        <is>
          <t>GMES_IM_POM</t>
        </is>
      </c>
      <c r="E52" s="48" t="inlineStr">
        <is>
          <t>GMES_IMES_0273</t>
        </is>
      </c>
      <c r="F52" s="48" t="inlineStr">
        <is>
          <t>JC일지관리</t>
        </is>
      </c>
      <c r="G52" s="48" t="inlineStr">
        <is>
          <t>Job Change Report Management</t>
        </is>
      </c>
      <c r="H52" s="48" t="inlineStr">
        <is>
          <t>Quản lý nhật ký JC</t>
        </is>
      </c>
      <c r="I52" s="48" t="n">
        <v>0</v>
      </c>
      <c r="J52" s="87" t="inlineStr">
        <is>
          <t>TODO</t>
        </is>
      </c>
      <c r="K52" s="91" t="inlineStr">
        <is>
          <t>Steve</t>
        </is>
      </c>
      <c r="L52" s="48" t="inlineStr">
        <is>
          <t> </t>
        </is>
      </c>
      <c r="M52" s="48" t="inlineStr">
        <is>
          <t> </t>
        </is>
      </c>
      <c r="N52" s="48" t="n"/>
      <c r="O52" s="48" t="inlineStr">
        <is>
          <t> </t>
        </is>
      </c>
    </row>
    <row r="53" ht="15.75" customHeight="1" s="121">
      <c r="A53" s="45" t="n">
        <v>44</v>
      </c>
      <c r="B53" s="46" t="inlineStr">
        <is>
          <t>재고관리&gt;재고마감</t>
        </is>
      </c>
      <c r="C53" s="46" t="inlineStr">
        <is>
          <t>Inventory Management&gt;inventory closing</t>
        </is>
      </c>
      <c r="D53" s="46" t="inlineStr">
        <is>
          <t>GMES_POM</t>
        </is>
      </c>
      <c r="E53" s="46" t="inlineStr">
        <is>
          <t>GMES_IMS_2541</t>
        </is>
      </c>
      <c r="F53" s="46" t="inlineStr">
        <is>
          <t>BizWF출고처리</t>
        </is>
      </c>
      <c r="G53" s="46" t="inlineStr">
        <is>
          <t>BizWF Transact</t>
        </is>
      </c>
      <c r="H53" s="46" t="inlineStr">
        <is>
          <t>Xử lý xuất kho BizWF</t>
        </is>
      </c>
      <c r="I53" s="46" t="n">
        <v>0</v>
      </c>
      <c r="J53" s="86" t="inlineStr">
        <is>
          <t>TODO</t>
        </is>
      </c>
      <c r="K53" s="94" t="inlineStr">
        <is>
          <t>Steve</t>
        </is>
      </c>
      <c r="L53" s="46" t="inlineStr">
        <is>
          <t> </t>
        </is>
      </c>
      <c r="M53" s="46" t="inlineStr">
        <is>
          <t> </t>
        </is>
      </c>
      <c r="N53" s="46" t="n"/>
      <c r="O53" s="46" t="inlineStr">
        <is>
          <t> </t>
        </is>
      </c>
    </row>
    <row r="54" ht="15.75" customHeight="1" s="121">
      <c r="A54" s="45" t="n">
        <v>60</v>
      </c>
      <c r="B54" s="46" t="inlineStr">
        <is>
          <t>재고관리&gt;ERP I/F</t>
        </is>
      </c>
      <c r="C54" s="46" t="inlineStr">
        <is>
          <t>Inventory Management&gt;ERP I/F</t>
        </is>
      </c>
      <c r="D54" s="46" t="inlineStr">
        <is>
          <t>GMES_POM</t>
        </is>
      </c>
      <c r="E54" s="46" t="inlineStr">
        <is>
          <t>GMES_IMS_0582</t>
        </is>
      </c>
      <c r="F54" s="46" t="inlineStr">
        <is>
          <t>ERP 재고 이전전기</t>
        </is>
      </c>
      <c r="G54" s="46" t="inlineStr">
        <is>
          <t>ERP Transfer Mtl</t>
        </is>
      </c>
      <c r="H54" s="46" t="inlineStr">
        <is>
          <t>Chuyển tồn kho kỳ trước ERP</t>
        </is>
      </c>
      <c r="I54" s="46" t="n">
        <v>0</v>
      </c>
      <c r="J54" s="86" t="inlineStr">
        <is>
          <t>TODO</t>
        </is>
      </c>
      <c r="K54" s="94" t="inlineStr">
        <is>
          <t>Steve</t>
        </is>
      </c>
      <c r="L54" s="46" t="inlineStr">
        <is>
          <t> </t>
        </is>
      </c>
      <c r="M54" s="46" t="inlineStr">
        <is>
          <t> </t>
        </is>
      </c>
      <c r="N54" s="46" t="n"/>
      <c r="O54" s="46" t="inlineStr">
        <is>
          <t> </t>
        </is>
      </c>
    </row>
    <row r="55" ht="15.75" customHeight="1" s="121">
      <c r="A55" s="45" t="n">
        <v>32</v>
      </c>
      <c r="B55" s="46" t="inlineStr">
        <is>
          <t>생산실적&gt;수율</t>
        </is>
      </c>
      <c r="C55" s="46" t="inlineStr">
        <is>
          <t>Production Result&gt;Yield Report</t>
        </is>
      </c>
      <c r="D55" s="46" t="inlineStr">
        <is>
          <t>GMES_IM_POM</t>
        </is>
      </c>
      <c r="E55" s="46" t="inlineStr">
        <is>
          <t>GMES_IMES_1100</t>
        </is>
      </c>
      <c r="F55" s="46" t="inlineStr">
        <is>
          <t>수불이력조회(양극재)</t>
        </is>
      </c>
      <c r="G55" s="46" t="inlineStr">
        <is>
          <t>Receipts_Disbursments_STATUS</t>
        </is>
      </c>
      <c r="H55" s="46" t="inlineStr">
        <is>
          <t>Tra cứu lịch sử xuất nhập (Vật liệu cực dương)</t>
        </is>
      </c>
      <c r="I55" s="46" t="n">
        <v>0</v>
      </c>
      <c r="J55" s="86" t="inlineStr">
        <is>
          <t>TODO</t>
        </is>
      </c>
      <c r="K55" s="94" t="inlineStr">
        <is>
          <t>Steve</t>
        </is>
      </c>
      <c r="L55" s="46" t="inlineStr">
        <is>
          <t> </t>
        </is>
      </c>
      <c r="M55" s="46" t="inlineStr">
        <is>
          <t> </t>
        </is>
      </c>
      <c r="N55" s="46" t="n"/>
      <c r="O55" s="46" t="inlineStr">
        <is>
          <t> </t>
        </is>
      </c>
    </row>
    <row r="56" ht="15.75" customHeight="1" s="121">
      <c r="A56" s="45" t="n">
        <v>40</v>
      </c>
      <c r="B56" s="46" t="inlineStr">
        <is>
          <t>물류관리&gt;샘플출하</t>
        </is>
      </c>
      <c r="C56" s="46" t="inlineStr">
        <is>
          <t>Logistics Management&gt;Sample Shipping</t>
        </is>
      </c>
      <c r="D56" s="46" t="inlineStr">
        <is>
          <t>GMES_IM_POM</t>
        </is>
      </c>
      <c r="E56" s="46" t="inlineStr">
        <is>
          <t>GMES_IMES_0701</t>
        </is>
      </c>
      <c r="F56" s="46" t="inlineStr">
        <is>
          <t>샘플출하 현황</t>
        </is>
      </c>
      <c r="G56" s="46" t="inlineStr">
        <is>
          <t>Sample shipment status</t>
        </is>
      </c>
      <c r="H56" s="46" t="inlineStr">
        <is>
          <t>Tình trạng xuất mẫu</t>
        </is>
      </c>
      <c r="I56" s="46" t="n">
        <v>0</v>
      </c>
      <c r="J56" s="86" t="inlineStr">
        <is>
          <t>TODO</t>
        </is>
      </c>
      <c r="K56" s="94" t="inlineStr">
        <is>
          <t>Steve</t>
        </is>
      </c>
      <c r="L56" s="46" t="inlineStr">
        <is>
          <t> </t>
        </is>
      </c>
      <c r="M56" s="46" t="inlineStr">
        <is>
          <t> </t>
        </is>
      </c>
      <c r="N56" s="46" t="n"/>
      <c r="O56" s="46" t="inlineStr">
        <is>
          <t> </t>
        </is>
      </c>
    </row>
    <row r="57" ht="15.75" customHeight="1" s="121">
      <c r="A57" s="45" t="n">
        <v>68</v>
      </c>
      <c r="B57" s="46" t="inlineStr">
        <is>
          <t>생산일지&gt;생산팀 관리일지</t>
        </is>
      </c>
      <c r="C57" s="46" t="inlineStr">
        <is>
          <t>Daily Report Management&gt;Production Daily Report</t>
        </is>
      </c>
      <c r="D57" s="46" t="inlineStr">
        <is>
          <t>GMES_IM_POM</t>
        </is>
      </c>
      <c r="E57" s="46" t="inlineStr">
        <is>
          <t>GMES_IMES_0276</t>
        </is>
      </c>
      <c r="F57" s="46" t="inlineStr">
        <is>
          <t>자주점검 NG관리</t>
        </is>
      </c>
      <c r="G57" s="46" t="inlineStr">
        <is>
          <t>Frequent Inspection NG Management</t>
        </is>
      </c>
      <c r="H57" s="46" t="inlineStr">
        <is>
          <t>Quản lý NG kiểm tra thường xuyên</t>
        </is>
      </c>
      <c r="I57" s="46" t="n">
        <v>0</v>
      </c>
      <c r="J57" s="86" t="inlineStr">
        <is>
          <t>TODO</t>
        </is>
      </c>
      <c r="K57" s="94" t="inlineStr">
        <is>
          <t>Steve</t>
        </is>
      </c>
      <c r="L57" s="46" t="inlineStr">
        <is>
          <t> </t>
        </is>
      </c>
      <c r="M57" s="46" t="inlineStr">
        <is>
          <t> </t>
        </is>
      </c>
      <c r="N57" s="46" t="n"/>
      <c r="O57" s="46" t="inlineStr">
        <is>
          <t xml:space="preserve"> No english menu name(KOR name is the same)!!</t>
        </is>
      </c>
    </row>
    <row r="58" ht="32.25" customHeight="1" s="121">
      <c r="A58" s="47" t="n">
        <v>39</v>
      </c>
      <c r="B58" s="48" t="inlineStr">
        <is>
          <t>물류관리&gt;샘플출하</t>
        </is>
      </c>
      <c r="C58" s="48" t="inlineStr">
        <is>
          <t>Logistics Management&gt;Sample Shipping</t>
        </is>
      </c>
      <c r="D58" s="48" t="inlineStr">
        <is>
          <t>GMES_IM_POM</t>
        </is>
      </c>
      <c r="E58" s="48" t="inlineStr">
        <is>
          <t>GMES_IMES_0700</t>
        </is>
      </c>
      <c r="F58" s="48" t="inlineStr">
        <is>
          <t>샘플출하 작성</t>
        </is>
      </c>
      <c r="G58" s="48" t="inlineStr">
        <is>
          <t>Sample Shipment</t>
        </is>
      </c>
      <c r="H58" s="48" t="inlineStr">
        <is>
          <t>Lập xuất mẫu</t>
        </is>
      </c>
      <c r="I58" s="48" t="n">
        <v>0</v>
      </c>
      <c r="J58" s="87" t="inlineStr">
        <is>
          <t>TODO</t>
        </is>
      </c>
      <c r="K58" s="91" t="inlineStr">
        <is>
          <t>Steve</t>
        </is>
      </c>
      <c r="L58" s="48" t="inlineStr">
        <is>
          <t> </t>
        </is>
      </c>
      <c r="M58" s="48" t="inlineStr">
        <is>
          <t> </t>
        </is>
      </c>
      <c r="N58" s="48" t="n"/>
      <c r="O58" s="48" t="inlineStr">
        <is>
          <t> </t>
        </is>
      </c>
    </row>
    <row r="59" ht="15.75" customHeight="1" s="121">
      <c r="A59" s="47" t="n">
        <v>45</v>
      </c>
      <c r="B59" s="48" t="inlineStr">
        <is>
          <t>재고관리&gt;재고마감</t>
        </is>
      </c>
      <c r="C59" s="48" t="inlineStr">
        <is>
          <t>Inventory Management&gt;inventory closing</t>
        </is>
      </c>
      <c r="D59" s="48" t="inlineStr">
        <is>
          <t>GMES_POM</t>
        </is>
      </c>
      <c r="E59" s="48" t="inlineStr">
        <is>
          <t>GMES_IMS_2542</t>
        </is>
      </c>
      <c r="F59" s="48" t="inlineStr">
        <is>
          <t>MTM 처리</t>
        </is>
      </c>
      <c r="G59" s="48" t="inlineStr">
        <is>
          <t>MTM Transact</t>
        </is>
      </c>
      <c r="H59" s="48" t="inlineStr">
        <is>
          <t>Xử lý MTM</t>
        </is>
      </c>
      <c r="I59" s="48" t="n">
        <v>0</v>
      </c>
      <c r="J59" s="87" t="inlineStr">
        <is>
          <t>TODO</t>
        </is>
      </c>
      <c r="K59" s="91" t="inlineStr">
        <is>
          <t>Steve</t>
        </is>
      </c>
      <c r="L59" s="48" t="inlineStr">
        <is>
          <t> </t>
        </is>
      </c>
      <c r="M59" s="48" t="inlineStr">
        <is>
          <t> </t>
        </is>
      </c>
      <c r="N59" s="48" t="n"/>
      <c r="O59" s="48" t="inlineStr">
        <is>
          <t> </t>
        </is>
      </c>
    </row>
    <row r="60" ht="15.75" customHeight="1" s="121">
      <c r="A60" s="47" t="n">
        <v>61</v>
      </c>
      <c r="B60" s="48" t="inlineStr">
        <is>
          <t>재고관리&gt;ERP I/F</t>
        </is>
      </c>
      <c r="C60" s="48" t="inlineStr">
        <is>
          <t>Inventory Management&gt;ERP I/F</t>
        </is>
      </c>
      <c r="D60" s="48" t="inlineStr">
        <is>
          <t>GMES_POM</t>
        </is>
      </c>
      <c r="E60" s="48" t="inlineStr">
        <is>
          <t>GMES_IMS_0584</t>
        </is>
      </c>
      <c r="F60" s="48" t="inlineStr">
        <is>
          <t>ERP 생산실적</t>
        </is>
      </c>
      <c r="G60" s="48" t="inlineStr">
        <is>
          <t>ERP PROD. Result</t>
        </is>
      </c>
      <c r="H60" s="48" t="inlineStr">
        <is>
          <t>Thành tích sản xuất ERP</t>
        </is>
      </c>
      <c r="I60" s="103" t="n">
        <v>0</v>
      </c>
      <c r="J60" s="76" t="inlineStr">
        <is>
          <t>TODO</t>
        </is>
      </c>
      <c r="K60" s="92" t="inlineStr">
        <is>
          <t>Steve</t>
        </is>
      </c>
      <c r="L60" s="103" t="inlineStr">
        <is>
          <t> </t>
        </is>
      </c>
      <c r="M60" s="103" t="inlineStr">
        <is>
          <t> </t>
        </is>
      </c>
      <c r="N60" s="103" t="n"/>
      <c r="O60" s="48" t="inlineStr">
        <is>
          <t> </t>
        </is>
      </c>
    </row>
    <row r="61" ht="15.75" customHeight="1" s="121">
      <c r="A61" s="47" t="n">
        <v>29</v>
      </c>
      <c r="B61" s="48" t="inlineStr">
        <is>
          <t>생산실적&gt;정보조회</t>
        </is>
      </c>
      <c r="C61" s="48" t="inlineStr">
        <is>
          <t>Production Result&gt;information inquiry</t>
        </is>
      </c>
      <c r="D61" s="48" t="inlineStr">
        <is>
          <t>GMES_IM_POM</t>
        </is>
      </c>
      <c r="E61" s="48" t="inlineStr">
        <is>
          <t>GMES_IMES_0238</t>
        </is>
      </c>
      <c r="F61" s="48" t="inlineStr">
        <is>
          <t>소성 차압일지</t>
        </is>
      </c>
      <c r="G61" s="48" t="inlineStr">
        <is>
          <t>Firing Differential Pressure Log</t>
        </is>
      </c>
      <c r="H61" s="105" t="inlineStr">
        <is>
          <t>Nhật ký chênh áp nung</t>
        </is>
      </c>
      <c r="I61" s="106" t="n">
        <v>0</v>
      </c>
      <c r="J61" s="90" t="inlineStr">
        <is>
          <t>TODO</t>
        </is>
      </c>
      <c r="K61" s="107" t="inlineStr">
        <is>
          <t>Steve</t>
        </is>
      </c>
      <c r="L61" s="106" t="inlineStr">
        <is>
          <t> </t>
        </is>
      </c>
      <c r="M61" s="106" t="inlineStr">
        <is>
          <t> </t>
        </is>
      </c>
      <c r="N61" s="106" t="n"/>
      <c r="O61" s="48" t="inlineStr">
        <is>
          <t>English menu name not exsit ?</t>
        </is>
      </c>
    </row>
    <row r="62" ht="15.75" customHeight="1" s="121">
      <c r="A62" s="47" t="n">
        <v>37</v>
      </c>
      <c r="B62" s="48" t="inlineStr">
        <is>
          <t>물류관리&gt;출하관리</t>
        </is>
      </c>
      <c r="C62" s="48" t="inlineStr">
        <is>
          <t>Logistics Management&gt;Shipping Management</t>
        </is>
      </c>
      <c r="D62" s="48" t="inlineStr">
        <is>
          <t>GMES_IM_POM</t>
        </is>
      </c>
      <c r="E62" s="48" t="inlineStr">
        <is>
          <t>GMES_IMES_0410</t>
        </is>
      </c>
      <c r="F62" s="48" t="inlineStr">
        <is>
          <t>출하실적 작성_NEW</t>
        </is>
      </c>
      <c r="G62" s="48" t="inlineStr">
        <is>
          <t>Shipping Performance Entry_NEW</t>
        </is>
      </c>
      <c r="H62" s="105" t="inlineStr">
        <is>
          <t>Lập thành tích xuất hàng_NEW</t>
        </is>
      </c>
      <c r="I62" s="106" t="n">
        <v>0</v>
      </c>
      <c r="J62" s="90" t="inlineStr">
        <is>
          <t>TODO</t>
        </is>
      </c>
      <c r="K62" s="108" t="inlineStr">
        <is>
          <t>Steve</t>
        </is>
      </c>
      <c r="L62" s="106" t="inlineStr">
        <is>
          <t> </t>
        </is>
      </c>
      <c r="M62" s="106" t="inlineStr">
        <is>
          <t> </t>
        </is>
      </c>
      <c r="N62" s="106" t="n"/>
      <c r="O62" s="48" t="inlineStr">
        <is>
          <t xml:space="preserve">Same KOR name with another screen + "New" 
( same english name ) </t>
        </is>
      </c>
    </row>
    <row r="63" ht="15.75" customHeight="1" s="121">
      <c r="A63" s="47" t="n">
        <v>41</v>
      </c>
      <c r="B63" s="48" t="inlineStr">
        <is>
          <t>물류관리&gt;샘플출하</t>
        </is>
      </c>
      <c r="C63" s="48" t="inlineStr">
        <is>
          <t>Logistics Management&gt;Sample Shipping</t>
        </is>
      </c>
      <c r="D63" s="48" t="inlineStr">
        <is>
          <t>GMES_IM_POM</t>
        </is>
      </c>
      <c r="E63" s="48" t="inlineStr">
        <is>
          <t>GMES_IMES_0702</t>
        </is>
      </c>
      <c r="F63" s="48" t="inlineStr">
        <is>
          <t>샘플검사 등록</t>
        </is>
      </c>
      <c r="G63" s="48" t="inlineStr">
        <is>
          <t>Sample inspection registration</t>
        </is>
      </c>
      <c r="H63" s="105" t="inlineStr">
        <is>
          <t>Đăng ký kiểm tra mẫu</t>
        </is>
      </c>
      <c r="I63" s="106" t="n">
        <v>0</v>
      </c>
      <c r="J63" s="90" t="inlineStr">
        <is>
          <t>TODO</t>
        </is>
      </c>
      <c r="K63" s="108" t="inlineStr">
        <is>
          <t>Steve</t>
        </is>
      </c>
      <c r="L63" s="106" t="inlineStr">
        <is>
          <t> </t>
        </is>
      </c>
      <c r="M63" s="106" t="inlineStr">
        <is>
          <t> </t>
        </is>
      </c>
      <c r="N63" s="106" t="n"/>
      <c r="O63" s="48" t="inlineStr">
        <is>
          <t> </t>
        </is>
      </c>
    </row>
    <row r="64">
      <c r="N64" s="64" t="n"/>
    </row>
    <row r="65" ht="15.75" customHeight="1" s="121">
      <c r="A65" s="53" t="n">
        <v>2</v>
      </c>
      <c r="B65" s="54" t="inlineStr">
        <is>
          <t>계획관리&gt;자재 투입계획 관리</t>
        </is>
      </c>
      <c r="C65" s="54" t="inlineStr">
        <is>
          <t>Production Plan&gt;Material input plan management</t>
        </is>
      </c>
      <c r="D65" s="54" t="inlineStr">
        <is>
          <t>GMES_IM_POM</t>
        </is>
      </c>
      <c r="E65" s="54" t="inlineStr">
        <is>
          <t>GMES_IMES_0130</t>
        </is>
      </c>
      <c r="F65" s="54" t="inlineStr">
        <is>
          <t>자재 투입계획 관리</t>
        </is>
      </c>
      <c r="G65" s="54" t="inlineStr">
        <is>
          <t>Material Input Plan Management</t>
        </is>
      </c>
      <c r="H65" s="54" t="inlineStr">
        <is>
          <t>Quản lý kế hoạch nhập nguyên liệu</t>
        </is>
      </c>
      <c r="I65" s="54" t="n">
        <v>0</v>
      </c>
      <c r="J65" s="85" t="inlineStr">
        <is>
          <t>TODO</t>
        </is>
      </c>
      <c r="K65" s="104" t="n"/>
      <c r="L65" s="54" t="inlineStr">
        <is>
          <t> </t>
        </is>
      </c>
      <c r="M65" s="54" t="inlineStr">
        <is>
          <t> </t>
        </is>
      </c>
      <c r="N65" s="77" t="n"/>
      <c r="O65" s="54" t="inlineStr">
        <is>
          <t>The Webiste UI can not be access</t>
        </is>
      </c>
    </row>
    <row r="66" ht="15.75" customHeight="1" s="121">
      <c r="A66" s="53" t="n">
        <v>4</v>
      </c>
      <c r="B66" s="54" t="inlineStr">
        <is>
          <t>계획관리&gt;설비가동 관리</t>
        </is>
      </c>
      <c r="C66" s="54" t="inlineStr">
        <is>
          <t>Product Plan/Equipment Operating Management</t>
        </is>
      </c>
      <c r="D66" s="54" t="inlineStr">
        <is>
          <t>GMES_IM_POM</t>
        </is>
      </c>
      <c r="E66" s="54" t="inlineStr">
        <is>
          <t>GMES_IMES_0111</t>
        </is>
      </c>
      <c r="F66" s="54" t="inlineStr">
        <is>
          <t>공정 가부동 실적관리</t>
        </is>
      </c>
      <c r="G66" s="54" t="inlineStr">
        <is>
          <t>Process Check Operation Performance Management</t>
        </is>
      </c>
      <c r="H66" s="54" t="inlineStr">
        <is>
          <t>Quản lý thành tích khả dụng công đoạn</t>
        </is>
      </c>
      <c r="I66" s="54" t="n">
        <v>0</v>
      </c>
      <c r="J66" s="85" t="inlineStr">
        <is>
          <t>TODO</t>
        </is>
      </c>
      <c r="K66" s="93" t="n"/>
      <c r="L66" s="54" t="inlineStr">
        <is>
          <t> </t>
        </is>
      </c>
      <c r="M66" s="54" t="inlineStr">
        <is>
          <t> </t>
        </is>
      </c>
      <c r="N66" s="77" t="n"/>
      <c r="O66" s="54" t="inlineStr">
        <is>
          <t>The Webiste UI can not be access</t>
        </is>
      </c>
    </row>
    <row r="67" ht="28.5" customHeight="1" s="121">
      <c r="A67" s="47" t="n">
        <v>1</v>
      </c>
      <c r="B67" s="48" t="n"/>
      <c r="C67" s="48" t="inlineStr">
        <is>
          <t>Production Plan &gt; Information Inquiry</t>
        </is>
      </c>
      <c r="D67" s="48" t="inlineStr">
        <is>
          <t>GMES_IM_POM</t>
        </is>
      </c>
      <c r="E67" s="48" t="inlineStr">
        <is>
          <t>GMES_IMES_0101</t>
        </is>
      </c>
      <c r="F67" s="48" t="inlineStr">
        <is>
          <t>작업지시별 공급사</t>
        </is>
      </c>
      <c r="G67" s="48" t="inlineStr">
        <is>
          <t>Suppiler by Work Order</t>
        </is>
      </c>
      <c r="H67" s="48" t="inlineStr">
        <is>
          <t>Nhà cung cấp theo lệnh sản xuất</t>
        </is>
      </c>
      <c r="I67" s="48" t="n">
        <v>0</v>
      </c>
      <c r="J67" s="88" t="inlineStr">
        <is>
          <t>DONE</t>
        </is>
      </c>
      <c r="K67" s="91" t="inlineStr">
        <is>
          <t>Eddie</t>
        </is>
      </c>
      <c r="L67" s="48" t="inlineStr">
        <is>
          <t> </t>
        </is>
      </c>
      <c r="M67" s="48" t="inlineStr">
        <is>
          <t> </t>
        </is>
      </c>
      <c r="N67" s="61" t="inlineStr">
        <is>
          <t>24h</t>
        </is>
      </c>
      <c r="O67" s="48" t="inlineStr">
        <is>
          <t>Search, 2 Excel, 2 grid</t>
        </is>
      </c>
      <c r="P67" s="111" t="n">
        <v>46224</v>
      </c>
    </row>
    <row r="68" ht="31.5" customHeight="1" s="121">
      <c r="A68" s="62" t="n">
        <v>3</v>
      </c>
      <c r="B68" s="63" t="inlineStr">
        <is>
          <t>계획관리&gt;생산계획</t>
        </is>
      </c>
      <c r="C68" s="63" t="inlineStr">
        <is>
          <t>Production Plan&gt;Information Inquiry</t>
        </is>
      </c>
      <c r="D68" s="63" t="inlineStr">
        <is>
          <t>GMES_IM_POM</t>
        </is>
      </c>
      <c r="E68" s="63" t="inlineStr">
        <is>
          <t>GMES_IMES_0207</t>
        </is>
      </c>
      <c r="F68" s="63" t="inlineStr">
        <is>
          <t>작업지시그룹 관리</t>
        </is>
      </c>
      <c r="G68" s="63" t="inlineStr">
        <is>
          <t xml:space="preserve"> Work Order Inquiry</t>
        </is>
      </c>
      <c r="H68" s="63" t="inlineStr">
        <is>
          <t>Quản lý nhóm lệnh sản xuất</t>
        </is>
      </c>
      <c r="I68" s="63" t="n">
        <v>1</v>
      </c>
      <c r="J68" s="89" t="inlineStr">
        <is>
          <t>TODO</t>
        </is>
      </c>
      <c r="K68" s="100" t="inlineStr">
        <is>
          <t>Steve</t>
        </is>
      </c>
      <c r="L68" s="63" t="inlineStr">
        <is>
          <t> </t>
        </is>
      </c>
      <c r="M68" s="63" t="inlineStr">
        <is>
          <t> </t>
        </is>
      </c>
      <c r="N68" s="74" t="inlineStr">
        <is>
          <t>40h</t>
        </is>
      </c>
      <c r="O68" s="63" t="inlineStr">
        <is>
          <t>Search, 1 mastergrid, 6 Button, 3 popup side grid, excel,    0207 == 0100_BM 
( if in english  one can not be open )   0207 does not exsit in source code</t>
        </is>
      </c>
      <c r="P68" s="111" t="n">
        <v>46224</v>
      </c>
    </row>
    <row r="69" ht="15.75" customHeight="1" s="121">
      <c r="A69" s="47" t="n">
        <v>5</v>
      </c>
      <c r="B69" s="48" t="inlineStr">
        <is>
          <t>계획관리&gt;도급관리</t>
        </is>
      </c>
      <c r="C69" s="48" t="inlineStr">
        <is>
          <t>Production Plan&gt;도급관리</t>
        </is>
      </c>
      <c r="D69" s="48" t="inlineStr">
        <is>
          <t>GMES_IM_POM</t>
        </is>
      </c>
      <c r="E69" s="48" t="inlineStr">
        <is>
          <t>GMES_IMES_0120</t>
        </is>
      </c>
      <c r="F69" s="48" t="inlineStr">
        <is>
          <t>협력업체 작업요청서</t>
        </is>
      </c>
      <c r="G69" s="48" t="inlineStr">
        <is>
          <t>Partner Work Request Form ( translate )</t>
        </is>
      </c>
      <c r="H69" s="48" t="inlineStr">
        <is>
          <t>Phiếu yêu cầu công việc đối tác</t>
        </is>
      </c>
      <c r="I69" s="48" t="n">
        <v>1</v>
      </c>
      <c r="J69" s="87" t="inlineStr">
        <is>
          <t>TODO</t>
        </is>
      </c>
      <c r="K69" s="91" t="inlineStr">
        <is>
          <t>Jack</t>
        </is>
      </c>
      <c r="L69" s="48" t="inlineStr">
        <is>
          <t> </t>
        </is>
      </c>
      <c r="M69" s="48" t="inlineStr">
        <is>
          <t> </t>
        </is>
      </c>
      <c r="N69" s="61" t="inlineStr">
        <is>
          <t>32h</t>
        </is>
      </c>
      <c r="O69" s="48" t="inlineStr">
        <is>
          <t>Search, Excel, View detail, Create, 10 Button, 1 popup, 2 dynamic grid
- Button Temporary save, Comfim create no logic code js(xác nhận không có phần xử lí riêng cho các button này)</t>
        </is>
      </c>
      <c r="P69" s="111" t="n">
        <v>46224</v>
      </c>
    </row>
    <row r="70" ht="15.75" customHeight="1" s="121">
      <c r="A70" s="47" t="n">
        <v>7</v>
      </c>
      <c r="B70" s="48" t="inlineStr">
        <is>
          <t>공정관리&gt;원자재관리</t>
        </is>
      </c>
      <c r="C70" s="48" t="inlineStr">
        <is>
          <t>Process Management&gt;Raw material management</t>
        </is>
      </c>
      <c r="D70" s="48" t="inlineStr">
        <is>
          <t>GMES_IM_POM</t>
        </is>
      </c>
      <c r="E70" s="48" t="inlineStr">
        <is>
          <t>GMES_IMES_0205</t>
        </is>
      </c>
      <c r="F70" s="48" t="inlineStr">
        <is>
          <t>원자재 입고확정 [사외업체]</t>
        </is>
      </c>
      <c r="G70" s="48" t="inlineStr">
        <is>
          <t>Confirm Material Receiving [Outdoor Company]</t>
        </is>
      </c>
      <c r="H70" s="48" t="inlineStr">
        <is>
          <t>Xác nhận nhập nguyên liệu [Đơn vị ngoài]</t>
        </is>
      </c>
      <c r="I70" s="48" t="n">
        <v>2</v>
      </c>
      <c r="J70" s="87" t="inlineStr">
        <is>
          <t>TODO</t>
        </is>
      </c>
      <c r="K70" s="91" t="inlineStr">
        <is>
          <t>Jack</t>
        </is>
      </c>
      <c r="L70" s="48" t="inlineStr">
        <is>
          <t> </t>
        </is>
      </c>
      <c r="M70" s="48" t="inlineStr">
        <is>
          <t> </t>
        </is>
      </c>
      <c r="N70" s="61" t="inlineStr">
        <is>
          <t>40h</t>
        </is>
      </c>
      <c r="O70" s="48" t="inlineStr">
        <is>
          <t>Search (10 Condition filter, 2 poup search), Create(10 Fields, 1 Dynamic grid), Return, Excel</t>
        </is>
      </c>
      <c r="P70" s="111" t="n">
        <v>46224</v>
      </c>
    </row>
    <row r="71" ht="15.75" customHeight="1" s="121">
      <c r="A71" s="45" t="n">
        <v>8</v>
      </c>
      <c r="B71" s="46" t="inlineStr">
        <is>
          <t>공정관리&gt;원자재관리</t>
        </is>
      </c>
      <c r="C71" s="46" t="inlineStr">
        <is>
          <t>Process Management&gt;Raw material management</t>
        </is>
      </c>
      <c r="D71" s="46" t="inlineStr">
        <is>
          <t>GMES_IM_POM</t>
        </is>
      </c>
      <c r="E71" s="46" t="inlineStr">
        <is>
          <t>GMES_IMES_0203</t>
        </is>
      </c>
      <c r="F71" s="46" t="inlineStr">
        <is>
          <t>원자재 소분 관리</t>
        </is>
      </c>
      <c r="G71" s="46" t="inlineStr">
        <is>
          <t>Raw Material Sub-division Management</t>
        </is>
      </c>
      <c r="H71" s="46" t="inlineStr">
        <is>
          <t>Quản lý chia nhỏ nguyên liệu</t>
        </is>
      </c>
      <c r="I71" s="46" t="n">
        <v>1</v>
      </c>
      <c r="J71" s="86" t="inlineStr">
        <is>
          <t>TODO</t>
        </is>
      </c>
      <c r="K71" s="98" t="inlineStr">
        <is>
          <t>Hughie</t>
        </is>
      </c>
      <c r="L71" s="46" t="inlineStr">
        <is>
          <t> </t>
        </is>
      </c>
      <c r="M71" s="46" t="inlineStr">
        <is>
          <t> </t>
        </is>
      </c>
      <c r="N71" s="60" t="inlineStr">
        <is>
          <t>40h</t>
        </is>
      </c>
      <c r="O71" s="46" t="inlineStr">
        <is>
          <t>1 master grid, 1 dynamic grid, 1 popup validation print, 1 print, 2 export excel</t>
        </is>
      </c>
      <c r="P71" s="111" t="n">
        <v>46224</v>
      </c>
    </row>
    <row r="72" ht="27" customHeight="1" s="121">
      <c r="A72" s="62" t="n">
        <v>9</v>
      </c>
      <c r="B72" s="63" t="inlineStr">
        <is>
          <t>공정관리&gt;포장관리</t>
        </is>
      </c>
      <c r="C72" s="63" t="inlineStr">
        <is>
          <t>Process Management&gt;Packing management</t>
        </is>
      </c>
      <c r="D72" s="63" t="inlineStr">
        <is>
          <t>GMES_IM_POM</t>
        </is>
      </c>
      <c r="E72" s="63" t="inlineStr">
        <is>
          <t>GMES_IMES_0220</t>
        </is>
      </c>
      <c r="F72" s="63" t="inlineStr">
        <is>
          <t>포장실적 관리</t>
        </is>
      </c>
      <c r="G72" s="63" t="inlineStr">
        <is>
          <t>Packing Result</t>
        </is>
      </c>
      <c r="H72" s="63" t="inlineStr">
        <is>
          <t>Quản lý thành tích đóng gói</t>
        </is>
      </c>
      <c r="I72" s="63" t="n">
        <v>16</v>
      </c>
      <c r="J72" s="89" t="inlineStr">
        <is>
          <t>TODO</t>
        </is>
      </c>
      <c r="K72" s="100" t="inlineStr">
        <is>
          <t>Steve</t>
        </is>
      </c>
      <c r="L72" s="63" t="inlineStr">
        <is>
          <t> </t>
        </is>
      </c>
      <c r="M72" s="63" t="inlineStr">
        <is>
          <t> </t>
        </is>
      </c>
      <c r="N72" s="74" t="inlineStr">
        <is>
          <t>120h</t>
        </is>
      </c>
      <c r="O72" s="63" t="inlineStr">
        <is>
          <t xml:space="preserve"> Search,17 buttons,  Excel, Create, Delete, Big Label Product, Big Label Product(4M), Big Label Product(E), 3 grid, 16Popup ( this look like same screen that was done )</t>
        </is>
      </c>
      <c r="P72" s="111" t="n">
        <v>46224</v>
      </c>
    </row>
    <row r="73" ht="26.25" customHeight="1" s="121">
      <c r="A73" s="45" t="n">
        <v>10</v>
      </c>
      <c r="B73" s="46" t="inlineStr">
        <is>
          <t>공정관리&gt;포장관리</t>
        </is>
      </c>
      <c r="C73" s="46" t="inlineStr">
        <is>
          <t>Process Management&gt;Packing management</t>
        </is>
      </c>
      <c r="D73" s="46" t="inlineStr">
        <is>
          <t>GMES_IM_POM</t>
        </is>
      </c>
      <c r="E73" s="46" t="inlineStr">
        <is>
          <t>GMES_IMES_0227</t>
        </is>
      </c>
      <c r="F73" s="46" t="inlineStr">
        <is>
          <t>포장실적 관리 [샘플]</t>
        </is>
      </c>
      <c r="G73" s="46" t="inlineStr">
        <is>
          <t>Packing Result [Sample]</t>
        </is>
      </c>
      <c r="H73" s="46" t="inlineStr">
        <is>
          <t>Quản lý thành tích đóng gói [Mẫu]</t>
        </is>
      </c>
      <c r="I73" s="46" t="n">
        <v>2</v>
      </c>
      <c r="J73" s="88" t="inlineStr">
        <is>
          <t>DONE</t>
        </is>
      </c>
      <c r="K73" s="98" t="inlineStr">
        <is>
          <t>Eddie</t>
        </is>
      </c>
      <c r="L73" s="46" t="inlineStr">
        <is>
          <t> </t>
        </is>
      </c>
      <c r="M73" s="46" t="inlineStr">
        <is>
          <t> </t>
        </is>
      </c>
      <c r="N73" s="60" t="inlineStr">
        <is>
          <t>40h</t>
        </is>
      </c>
      <c r="O73" s="46" t="inlineStr">
        <is>
          <t xml:space="preserve"> Search, Excel, Create, Delete, Big Label Product, Big Label Product(4M), Big Label Product(E), 3 grid</t>
        </is>
      </c>
      <c r="P73" s="111" t="n">
        <v>46224</v>
      </c>
    </row>
    <row r="74" ht="15.75" customHeight="1" s="121">
      <c r="A74" s="47" t="n">
        <v>11</v>
      </c>
      <c r="B74" s="48" t="inlineStr">
        <is>
          <t>공정관리&gt;포장관리</t>
        </is>
      </c>
      <c r="C74" s="48" t="inlineStr">
        <is>
          <t>Process Management&gt;Packing management</t>
        </is>
      </c>
      <c r="D74" s="48" t="inlineStr">
        <is>
          <t>GMES_IM_POM</t>
        </is>
      </c>
      <c r="E74" s="48" t="inlineStr">
        <is>
          <t>GMES_IMES_0226</t>
        </is>
      </c>
      <c r="F74" s="48" t="inlineStr">
        <is>
          <t>포장실적 관리 [PILOT]</t>
        </is>
      </c>
      <c r="G74" s="46" t="inlineStr">
        <is>
          <t>Packing Result [For Manager]</t>
        </is>
      </c>
      <c r="H74" s="48" t="inlineStr">
        <is>
          <t>Quản lý thành tích đóng gói [PILOT]</t>
        </is>
      </c>
      <c r="I74" s="48" t="n">
        <v>8</v>
      </c>
      <c r="J74" s="88" t="inlineStr">
        <is>
          <t>DONE</t>
        </is>
      </c>
      <c r="K74" s="98" t="inlineStr">
        <is>
          <t>Hughie</t>
        </is>
      </c>
      <c r="L74" s="48" t="inlineStr">
        <is>
          <t> </t>
        </is>
      </c>
      <c r="M74" s="48" t="inlineStr">
        <is>
          <t> </t>
        </is>
      </c>
      <c r="N74" s="61" t="inlineStr">
        <is>
          <t>80h</t>
        </is>
      </c>
      <c r="O74" s="48" t="inlineStr">
        <is>
          <t xml:space="preserve"> 2 grid dynamic crud, 1 grid,  8 popup, 6 label</t>
        </is>
      </c>
      <c r="P74" s="111" t="n">
        <v>46224</v>
      </c>
    </row>
    <row r="75" ht="33.75" customFormat="1" customHeight="1" s="81">
      <c r="A75" s="110" t="n">
        <v>12</v>
      </c>
      <c r="B75" s="59" t="inlineStr">
        <is>
          <t>공정관리&gt;포장관리</t>
        </is>
      </c>
      <c r="C75" s="59" t="inlineStr">
        <is>
          <t>Process Management&gt;Packing management</t>
        </is>
      </c>
      <c r="D75" s="59" t="inlineStr">
        <is>
          <t>GMES_IM_POM</t>
        </is>
      </c>
      <c r="E75" s="59" t="inlineStr">
        <is>
          <t>GMES_IMES_0228</t>
        </is>
      </c>
      <c r="F75" s="59" t="inlineStr">
        <is>
          <t>포장실적 관리 [분석의뢰]</t>
        </is>
      </c>
      <c r="G75" s="59" t="inlineStr">
        <is>
          <t>Packing Result [For Analysis request]</t>
        </is>
      </c>
      <c r="H75" s="59" t="inlineStr">
        <is>
          <t>Quản lý thành tích đóng gói [Yêu cầu phân tích]</t>
        </is>
      </c>
      <c r="I75" s="59" t="n">
        <v>6</v>
      </c>
      <c r="J75" s="86" t="inlineStr">
        <is>
          <t>TODO</t>
        </is>
      </c>
      <c r="K75" s="101" t="inlineStr">
        <is>
          <t>Jack</t>
        </is>
      </c>
      <c r="L75" s="59" t="inlineStr">
        <is>
          <t> </t>
        </is>
      </c>
      <c r="M75" s="59" t="inlineStr">
        <is>
          <t> </t>
        </is>
      </c>
      <c r="N75" s="60" t="inlineStr">
        <is>
          <t>80h</t>
        </is>
      </c>
      <c r="O75" s="109" t="inlineStr">
        <is>
          <t xml:space="preserve"> Search(8 condition, 1 popup search, 3 grid dyamic), Popup Create (12 field, 2 button), 2 print lable, Delete, Excel, 9 button,
- 6 popup:
+ GEMS_COM_0003: Search, 1 Dynamin grid
+ GMES_IMES_0228_01: 10 Field, 4 button, 1 dynamic
+ GMES_IMES_0228_02: 11 Field, 1 button save
+ GMES_IMES_0228_03: 9 Field, 4 button
+ GMES_IMES_0220_09: 4 Button</t>
        </is>
      </c>
      <c r="P75" s="111" t="n">
        <v>46224</v>
      </c>
    </row>
    <row r="76" ht="24.75" customHeight="1" s="121">
      <c r="A76" s="47" t="n">
        <v>13</v>
      </c>
      <c r="B76" s="48" t="inlineStr">
        <is>
          <t>공정관리&gt;포장관리</t>
        </is>
      </c>
      <c r="C76" s="48" t="inlineStr">
        <is>
          <t>Process Management&gt;Packing management</t>
        </is>
      </c>
      <c r="D76" s="48" t="inlineStr">
        <is>
          <t>GMES_IM_POM</t>
        </is>
      </c>
      <c r="E76" s="48" t="inlineStr">
        <is>
          <t>GMES_IMES_0225</t>
        </is>
      </c>
      <c r="F76" s="48" t="inlineStr">
        <is>
          <t>재포장관리</t>
        </is>
      </c>
      <c r="G76" s="48" t="inlineStr">
        <is>
          <t>Repacking Management</t>
        </is>
      </c>
      <c r="H76" s="48" t="inlineStr">
        <is>
          <t>Quản lý đóng gói lại</t>
        </is>
      </c>
      <c r="I76" s="48" t="n">
        <v>4</v>
      </c>
      <c r="J76" s="88" t="inlineStr">
        <is>
          <t>DONE</t>
        </is>
      </c>
      <c r="K76" s="98" t="inlineStr">
        <is>
          <t>Hughie</t>
        </is>
      </c>
      <c r="L76" s="48" t="inlineStr">
        <is>
          <t> </t>
        </is>
      </c>
      <c r="M76" s="48" t="inlineStr">
        <is>
          <t> </t>
        </is>
      </c>
      <c r="N76" s="61" t="inlineStr">
        <is>
          <t>80h</t>
        </is>
      </c>
      <c r="O76" s="48" t="inlineStr">
        <is>
          <t xml:space="preserve"> 1 grid, 1 grid dynamic crud, 4 popup, 6 label</t>
        </is>
      </c>
      <c r="P76" s="111" t="n">
        <v>46224</v>
      </c>
    </row>
    <row r="77" ht="15.75" customHeight="1" s="121">
      <c r="A77" s="45" t="n">
        <v>14</v>
      </c>
      <c r="B77" s="48" t="inlineStr">
        <is>
          <t>공정관리&gt;포장관리</t>
        </is>
      </c>
      <c r="C77" s="46" t="inlineStr">
        <is>
          <t>Process Management&gt;Packing management</t>
        </is>
      </c>
      <c r="D77" s="46" t="inlineStr">
        <is>
          <t>GMES_IM_POM</t>
        </is>
      </c>
      <c r="E77" s="46" t="inlineStr">
        <is>
          <t>GMES_IMES_0260</t>
        </is>
      </c>
      <c r="F77" s="46" t="inlineStr">
        <is>
          <t>스캔검증이력조회</t>
        </is>
      </c>
      <c r="G77" s="46" t="inlineStr">
        <is>
          <t>Scan History</t>
        </is>
      </c>
      <c r="H77" s="46" t="inlineStr">
        <is>
          <t>Tra cứu lịch sử xác minh quét</t>
        </is>
      </c>
      <c r="I77" s="46" t="n">
        <v>0</v>
      </c>
      <c r="J77" s="86" t="inlineStr">
        <is>
          <t>TODO</t>
        </is>
      </c>
      <c r="K77" s="94" t="inlineStr">
        <is>
          <t>Steve</t>
        </is>
      </c>
      <c r="L77" s="46" t="inlineStr">
        <is>
          <t> </t>
        </is>
      </c>
      <c r="M77" s="46" t="inlineStr">
        <is>
          <t> </t>
        </is>
      </c>
      <c r="N77" s="60" t="inlineStr">
        <is>
          <t>16h</t>
        </is>
      </c>
      <c r="O77" s="46" t="inlineStr">
        <is>
          <t>Search, 1 Master grid</t>
        </is>
      </c>
      <c r="P77" s="111" t="n">
        <v>46224</v>
      </c>
    </row>
    <row r="78" ht="15.75" customHeight="1" s="121">
      <c r="A78" s="47" t="n">
        <v>15</v>
      </c>
      <c r="B78" s="48" t="inlineStr">
        <is>
          <t>공정관리&gt;측정관리</t>
        </is>
      </c>
      <c r="C78" s="48" t="inlineStr">
        <is>
          <t>Process Management&gt;측정관리</t>
        </is>
      </c>
      <c r="D78" s="48" t="inlineStr">
        <is>
          <t>GMES_IM_POM</t>
        </is>
      </c>
      <c r="E78" s="48" t="inlineStr">
        <is>
          <t>GMES_IMES_2802</t>
        </is>
      </c>
      <c r="F78" s="48" t="inlineStr">
        <is>
          <t>샘플 정보 관리</t>
        </is>
      </c>
      <c r="G78" s="48" t="inlineStr">
        <is>
          <t>Sample Information Management</t>
        </is>
      </c>
      <c r="H78" s="48" t="inlineStr">
        <is>
          <t>Quản lý thông tin mẫu</t>
        </is>
      </c>
      <c r="I78" s="48" t="n">
        <v>0</v>
      </c>
      <c r="J78" s="88" t="inlineStr">
        <is>
          <t>DONE</t>
        </is>
      </c>
      <c r="K78" s="98" t="inlineStr">
        <is>
          <t>Eddie</t>
        </is>
      </c>
      <c r="L78" s="48" t="inlineStr">
        <is>
          <t> </t>
        </is>
      </c>
      <c r="M78" s="48" t="inlineStr">
        <is>
          <t> </t>
        </is>
      </c>
      <c r="N78" s="61" t="inlineStr">
        <is>
          <t>16h</t>
        </is>
      </c>
      <c r="O78" s="48" t="inlineStr">
        <is>
          <t>Search, 1 grid, Excel</t>
        </is>
      </c>
      <c r="P78" s="111" t="n">
        <v>46224</v>
      </c>
    </row>
    <row r="79" ht="15.75" customHeight="1" s="121">
      <c r="A79" s="45" t="n">
        <v>16</v>
      </c>
      <c r="B79" s="46" t="inlineStr">
        <is>
          <t>공정관리&gt;측정관리</t>
        </is>
      </c>
      <c r="C79" s="46" t="inlineStr">
        <is>
          <t>Process Management&gt;측정관리</t>
        </is>
      </c>
      <c r="D79" s="46" t="inlineStr">
        <is>
          <t>GMES_IM_POM</t>
        </is>
      </c>
      <c r="E79" s="46" t="inlineStr">
        <is>
          <t>GMES_IMES_0240</t>
        </is>
      </c>
      <c r="F79" s="46" t="inlineStr">
        <is>
          <t>측정정보 관리</t>
        </is>
      </c>
      <c r="G79" s="46" t="inlineStr">
        <is>
          <t>Measurement Information</t>
        </is>
      </c>
      <c r="H79" s="46" t="inlineStr">
        <is>
          <t>Quản lý thông tin đo lường</t>
        </is>
      </c>
      <c r="I79" s="46" t="n">
        <v>1</v>
      </c>
      <c r="J79" s="88" t="inlineStr">
        <is>
          <t>DONE</t>
        </is>
      </c>
      <c r="K79" s="98" t="inlineStr">
        <is>
          <t>Hughie</t>
        </is>
      </c>
      <c r="L79" s="46" t="inlineStr">
        <is>
          <t> </t>
        </is>
      </c>
      <c r="M79" s="46" t="inlineStr">
        <is>
          <t> </t>
        </is>
      </c>
      <c r="N79" s="60" t="inlineStr">
        <is>
          <t>80h</t>
        </is>
      </c>
      <c r="O79" s="46" t="inlineStr">
        <is>
          <t xml:space="preserve"> 1 dynamic grid, 1 popup handle export import excel, crud grid</t>
        </is>
      </c>
      <c r="P79" s="111" t="n">
        <v>46224</v>
      </c>
    </row>
    <row r="80" ht="15.75" customHeight="1" s="121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  <c r="J80" s="76" t="n"/>
      <c r="K80" s="78" t="n"/>
      <c r="L80" s="75" t="n"/>
      <c r="M80" s="75" t="n"/>
      <c r="N80" s="76" t="n"/>
      <c r="O80" s="75" t="n"/>
    </row>
    <row r="81" ht="15.75" customHeight="1" s="121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6" t="n"/>
      <c r="K81" s="78" t="n"/>
      <c r="L81" s="75" t="n"/>
      <c r="M81" s="75" t="n"/>
      <c r="N81" s="76" t="n"/>
      <c r="O81" s="75" t="n"/>
    </row>
    <row r="82" ht="15.75" customHeight="1" s="121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  <c r="J82" s="76" t="n"/>
      <c r="K82" s="78" t="n"/>
      <c r="L82" s="75" t="n"/>
      <c r="M82" s="75" t="n"/>
      <c r="N82" s="76" t="n"/>
      <c r="O82" s="75" t="n"/>
    </row>
    <row r="83" ht="15.75" customHeight="1" s="121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  <c r="J83" s="76" t="n"/>
      <c r="K83" s="78" t="n"/>
      <c r="L83" s="75" t="n"/>
      <c r="M83" s="75" t="n"/>
      <c r="N83" s="76" t="n"/>
      <c r="O83" s="75" t="n"/>
    </row>
    <row r="84" ht="15.75" customHeight="1" s="121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  <c r="J84" s="76" t="n"/>
      <c r="K84" s="78" t="n"/>
      <c r="L84" s="75" t="n"/>
      <c r="M84" s="75" t="n"/>
      <c r="N84" s="76" t="n"/>
      <c r="O84" s="75" t="n"/>
    </row>
    <row r="85" ht="15.75" customHeight="1" s="121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  <c r="J85" s="76" t="n"/>
      <c r="K85" s="78" t="n"/>
      <c r="L85" s="75" t="n"/>
      <c r="M85" s="75" t="n"/>
      <c r="N85" s="76" t="n"/>
      <c r="O85" s="75" t="n"/>
    </row>
    <row r="86" ht="15.75" customHeight="1" s="121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  <c r="J86" s="76" t="n"/>
      <c r="K86" s="78" t="n"/>
      <c r="L86" s="75" t="n"/>
      <c r="M86" s="75" t="n"/>
      <c r="N86" s="76" t="n"/>
      <c r="O86" s="75" t="n"/>
    </row>
    <row r="87" ht="15.75" customHeight="1" s="121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  <c r="J87" s="76" t="n"/>
      <c r="K87" s="78" t="n"/>
      <c r="L87" s="75" t="n"/>
      <c r="M87" s="75" t="n"/>
      <c r="N87" s="76" t="n"/>
      <c r="O87" s="75" t="n"/>
    </row>
    <row r="88" ht="15.75" customHeight="1" s="121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  <c r="J88" s="76" t="n"/>
      <c r="K88" s="78" t="n"/>
      <c r="L88" s="75" t="n"/>
      <c r="M88" s="75" t="n"/>
      <c r="N88" s="76" t="n"/>
      <c r="O88" s="75" t="n"/>
    </row>
    <row r="89" ht="15.75" customHeight="1" s="121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  <c r="J89" s="76" t="n"/>
      <c r="K89" s="78" t="n"/>
      <c r="L89" s="75" t="n"/>
      <c r="M89" s="75" t="n"/>
      <c r="N89" s="76" t="n"/>
      <c r="O89" s="75" t="n"/>
    </row>
    <row r="90" ht="15.75" customHeight="1" s="121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  <c r="J90" s="76" t="n"/>
      <c r="K90" s="78" t="n"/>
      <c r="L90" s="75" t="n"/>
      <c r="M90" s="75" t="n"/>
      <c r="N90" s="76" t="n"/>
      <c r="O90" s="75" t="n"/>
    </row>
    <row r="91" ht="15.75" customHeight="1" s="121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  <c r="J91" s="76" t="n"/>
      <c r="K91" s="78" t="n"/>
      <c r="L91" s="75" t="n"/>
      <c r="M91" s="75" t="n"/>
      <c r="N91" s="76" t="n"/>
      <c r="O91" s="75" t="n"/>
    </row>
    <row r="92" ht="15.75" customHeight="1" s="121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  <c r="J92" s="76" t="n"/>
      <c r="K92" s="78" t="n"/>
      <c r="L92" s="75" t="n"/>
      <c r="M92" s="75" t="n"/>
      <c r="N92" s="76" t="n"/>
      <c r="O92" s="75" t="n"/>
    </row>
    <row r="93" ht="15.75" customHeight="1" s="121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  <c r="J93" s="76" t="n"/>
      <c r="K93" s="78" t="n"/>
      <c r="L93" s="75" t="n"/>
      <c r="M93" s="75" t="n"/>
      <c r="N93" s="76" t="n"/>
      <c r="O93" s="75" t="n"/>
    </row>
    <row r="94" ht="15.75" customHeight="1" s="121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6" t="n"/>
      <c r="K94" s="78" t="n"/>
      <c r="L94" s="75" t="n"/>
      <c r="M94" s="75" t="n"/>
      <c r="N94" s="76" t="n"/>
      <c r="O94" s="75" t="n"/>
    </row>
    <row r="95" ht="15.75" customHeight="1" s="121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  <c r="J95" s="76" t="n"/>
      <c r="K95" s="78" t="n"/>
      <c r="L95" s="75" t="n"/>
      <c r="M95" s="75" t="n"/>
      <c r="N95" s="76" t="n"/>
      <c r="O95" s="75" t="n"/>
    </row>
    <row r="96" ht="15.75" customHeight="1" s="121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  <c r="J96" s="76" t="n"/>
      <c r="K96" s="78" t="n"/>
      <c r="L96" s="75" t="n"/>
      <c r="M96" s="75" t="n"/>
      <c r="N96" s="76" t="n"/>
      <c r="O96" s="75" t="n"/>
    </row>
    <row r="97" ht="15.75" customHeight="1" s="121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  <c r="J97" s="76" t="n"/>
      <c r="K97" s="78" t="n"/>
      <c r="L97" s="75" t="n"/>
      <c r="M97" s="75" t="n"/>
      <c r="N97" s="76" t="n"/>
      <c r="O97" s="75" t="n"/>
    </row>
    <row r="98" ht="15.75" customHeight="1" s="121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  <c r="J98" s="76" t="n"/>
      <c r="K98" s="78" t="n"/>
      <c r="L98" s="75" t="n"/>
      <c r="M98" s="75" t="n"/>
      <c r="N98" s="76" t="n"/>
      <c r="O98" s="75" t="n"/>
    </row>
    <row r="99" ht="15.75" customHeight="1" s="121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  <c r="J99" s="76" t="n"/>
      <c r="K99" s="78" t="n"/>
      <c r="L99" s="75" t="n"/>
      <c r="M99" s="75" t="n"/>
      <c r="N99" s="76" t="n"/>
      <c r="O99" s="75" t="n"/>
    </row>
    <row r="100" ht="15.75" customHeight="1" s="121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  <c r="J100" s="76" t="n"/>
      <c r="K100" s="78" t="n"/>
      <c r="L100" s="75" t="n"/>
      <c r="M100" s="75" t="n"/>
      <c r="N100" s="76" t="n"/>
      <c r="O100" s="75" t="n"/>
    </row>
    <row r="101" ht="15.75" customHeight="1" s="121">
      <c r="A101" s="75" t="n"/>
      <c r="B101" s="75" t="n"/>
      <c r="C101" s="75" t="n"/>
      <c r="D101" s="75" t="n"/>
      <c r="E101" s="75" t="n"/>
      <c r="F101" s="75" t="n"/>
      <c r="G101" s="75" t="n"/>
      <c r="H101" s="75" t="n"/>
      <c r="I101" s="75" t="n"/>
      <c r="J101" s="76" t="n"/>
      <c r="K101" s="78" t="n"/>
      <c r="L101" s="75" t="n"/>
      <c r="M101" s="75" t="n"/>
      <c r="N101" s="76" t="n"/>
      <c r="O101" s="75" t="n"/>
    </row>
    <row r="102" ht="15.75" customHeight="1" s="121">
      <c r="A102" s="75" t="n"/>
      <c r="B102" s="75" t="n"/>
      <c r="C102" s="75" t="n"/>
      <c r="D102" s="75" t="n"/>
      <c r="E102" s="75" t="n"/>
      <c r="F102" s="75" t="n"/>
      <c r="G102" s="75" t="n"/>
      <c r="H102" s="75" t="n"/>
      <c r="I102" s="75" t="n"/>
      <c r="J102" s="76" t="n"/>
      <c r="K102" s="78" t="n"/>
      <c r="L102" s="75" t="n"/>
      <c r="M102" s="75" t="n"/>
      <c r="N102" s="76" t="n"/>
      <c r="O102" s="75" t="n"/>
    </row>
    <row r="103" ht="15.75" customHeight="1" s="121">
      <c r="A103" s="75" t="n"/>
      <c r="B103" s="75" t="n"/>
      <c r="C103" s="75" t="n"/>
      <c r="D103" s="75" t="n"/>
      <c r="E103" s="75" t="n"/>
      <c r="F103" s="75" t="n"/>
      <c r="G103" s="75" t="n"/>
      <c r="H103" s="75" t="n"/>
      <c r="I103" s="75" t="n"/>
      <c r="J103" s="76" t="n"/>
      <c r="K103" s="78" t="n"/>
      <c r="L103" s="75" t="n"/>
      <c r="M103" s="75" t="n"/>
      <c r="N103" s="76" t="n"/>
      <c r="O103" s="75" t="n"/>
    </row>
    <row r="104" ht="15.75" customHeight="1" s="121">
      <c r="A104" s="75" t="n"/>
      <c r="B104" s="75" t="n"/>
      <c r="C104" s="75" t="n"/>
      <c r="D104" s="75" t="n"/>
      <c r="E104" s="75" t="n"/>
      <c r="F104" s="75" t="n"/>
      <c r="G104" s="75" t="n"/>
      <c r="H104" s="75" t="n"/>
      <c r="I104" s="75" t="n"/>
      <c r="J104" s="76" t="n"/>
      <c r="K104" s="78" t="n"/>
      <c r="L104" s="75" t="n"/>
      <c r="M104" s="75" t="n"/>
      <c r="N104" s="76" t="n"/>
      <c r="O104" s="75" t="n"/>
    </row>
    <row r="105" ht="15.75" customHeight="1" s="121"/>
    <row r="106" ht="15.75" customHeight="1" s="121"/>
    <row r="107" ht="55.5" customHeight="1" s="121">
      <c r="A107" s="51" t="inlineStr">
        <is>
          <t>구분
(Category)</t>
        </is>
      </c>
      <c r="B107" s="52" t="inlineStr">
        <is>
          <t>대메뉴
(Main Menu)</t>
        </is>
      </c>
      <c r="C107" s="52" t="inlineStr">
        <is>
          <t>대메뉴
(Main Menu)</t>
        </is>
      </c>
      <c r="D107" s="52" t="inlineStr">
        <is>
          <t>중메뉴
(Sub Menu)</t>
        </is>
      </c>
      <c r="E107" s="52" t="inlineStr">
        <is>
          <t>소메뉴
(Detail Menu)</t>
        </is>
      </c>
      <c r="F107" s="52" t="inlineStr">
        <is>
          <t>MENU PATH
(URL)</t>
        </is>
      </c>
    </row>
    <row r="108" ht="15.75" customHeight="1" s="121">
      <c r="A108" s="127" t="inlineStr">
        <is>
          <t>IMS</t>
        </is>
      </c>
      <c r="B108" s="127" t="inlineStr">
        <is>
          <t>계획관리</t>
        </is>
      </c>
      <c r="C108" s="127" t="inlineStr">
        <is>
          <t>계획관리</t>
        </is>
      </c>
      <c r="D108" s="127" t="inlineStr">
        <is>
          <t>생산계획</t>
        </is>
      </c>
      <c r="E108" s="49" t="inlineStr">
        <is>
          <t>작업지시별 공급사</t>
        </is>
      </c>
      <c r="F108" s="49" t="inlineStr">
        <is>
          <t>GMES_IM_POM/GMES_IMES_0101.aspx</t>
        </is>
      </c>
    </row>
    <row r="109" ht="15.75" customHeight="1" s="121">
      <c r="A109" s="128" t="n"/>
      <c r="B109" s="128" t="n"/>
      <c r="C109" s="128" t="n"/>
      <c r="D109" s="128" t="n"/>
      <c r="E109" s="49" t="inlineStr">
        <is>
          <t>자재 투입계획 관리</t>
        </is>
      </c>
      <c r="F109" s="49" t="inlineStr">
        <is>
          <t>GMES_IM_POM/GMES_IMES_0130.aspx</t>
        </is>
      </c>
    </row>
    <row r="110" ht="15.75" customHeight="1" s="121">
      <c r="A110" s="128" t="n"/>
      <c r="B110" s="128" t="n"/>
      <c r="C110" s="128" t="n"/>
      <c r="D110" s="129" t="n"/>
      <c r="E110" s="49" t="inlineStr">
        <is>
          <t>작업지시그룹 관리</t>
        </is>
      </c>
      <c r="F110" s="49" t="inlineStr">
        <is>
          <t>GMES_IM_POM/GMES_IMES_0207.aspx</t>
        </is>
      </c>
    </row>
    <row r="111" ht="15.75" customHeight="1" s="121">
      <c r="A111" s="128" t="n"/>
      <c r="B111" s="128" t="n"/>
      <c r="C111" s="128" t="n"/>
      <c r="D111" s="50" t="inlineStr">
        <is>
          <t>설비가동 관리</t>
        </is>
      </c>
      <c r="E111" s="49" t="inlineStr">
        <is>
          <t>공정 가부동 실적관리</t>
        </is>
      </c>
      <c r="F111" s="49" t="inlineStr">
        <is>
          <t>GMES_IM_POM/GMES_IMES_0111.aspx</t>
        </is>
      </c>
    </row>
    <row r="112" ht="15.75" customHeight="1" s="121">
      <c r="A112" s="128" t="n"/>
      <c r="B112" s="128" t="n"/>
      <c r="C112" s="128" t="n"/>
      <c r="D112" s="50" t="inlineStr">
        <is>
          <t>도급관리</t>
        </is>
      </c>
      <c r="E112" s="49" t="inlineStr">
        <is>
          <t>협력업체 작업요청서</t>
        </is>
      </c>
      <c r="F112" s="49" t="inlineStr">
        <is>
          <t>GMES_IM_POM/GMES_IMES_0120.aspx</t>
        </is>
      </c>
    </row>
    <row r="113" ht="15.75" customHeight="1" s="121">
      <c r="A113" s="128" t="n"/>
      <c r="B113" s="129" t="n"/>
      <c r="C113" s="129" t="n"/>
      <c r="D113" s="50" t="inlineStr">
        <is>
          <t>알람전송</t>
        </is>
      </c>
      <c r="E113" s="49" t="inlineStr">
        <is>
          <t>알람전송</t>
        </is>
      </c>
      <c r="F113" s="49" t="inlineStr">
        <is>
          <t> </t>
        </is>
      </c>
    </row>
    <row r="114" ht="15.75" customHeight="1" s="121">
      <c r="A114" s="128" t="n"/>
      <c r="B114" s="127" t="inlineStr">
        <is>
          <t>공정관리</t>
        </is>
      </c>
      <c r="C114" s="127" t="inlineStr">
        <is>
          <t>공정관리</t>
        </is>
      </c>
      <c r="D114" s="127" t="inlineStr">
        <is>
          <t>원자재관리</t>
        </is>
      </c>
      <c r="E114" s="49" t="inlineStr">
        <is>
          <t>원자재 입고확정 [사외업체]</t>
        </is>
      </c>
      <c r="F114" s="49" t="inlineStr">
        <is>
          <t>GMES_IM_POM/GMES_IMES_0205.aspx</t>
        </is>
      </c>
    </row>
    <row r="115" ht="15.75" customHeight="1" s="121">
      <c r="A115" s="128" t="n"/>
      <c r="B115" s="128" t="n"/>
      <c r="C115" s="128" t="n"/>
      <c r="D115" s="129" t="n"/>
      <c r="E115" s="49" t="inlineStr">
        <is>
          <t>원자재 소분 관리</t>
        </is>
      </c>
      <c r="F115" s="49" t="inlineStr">
        <is>
          <t>GMES_IM_POM/GMES_IMES_0203.aspx</t>
        </is>
      </c>
    </row>
    <row r="116" ht="15.75" customHeight="1" s="121">
      <c r="A116" s="128" t="n"/>
      <c r="B116" s="128" t="n"/>
      <c r="C116" s="128" t="n"/>
      <c r="D116" s="127" t="inlineStr">
        <is>
          <t>포장관리</t>
        </is>
      </c>
      <c r="E116" s="49" t="inlineStr">
        <is>
          <t>포장실적 관리</t>
        </is>
      </c>
      <c r="F116" s="49" t="inlineStr">
        <is>
          <t>GMES_IM_POM/GMES_IMES_0220.aspx</t>
        </is>
      </c>
    </row>
    <row r="117" ht="15.75" customHeight="1" s="121">
      <c r="A117" s="128" t="n"/>
      <c r="B117" s="128" t="n"/>
      <c r="C117" s="128" t="n"/>
      <c r="D117" s="128" t="n"/>
      <c r="E117" s="49" t="inlineStr">
        <is>
          <t>포장실적 관리 [샘플]</t>
        </is>
      </c>
      <c r="F117" s="49" t="inlineStr">
        <is>
          <t>GMES_IM_POM/GMES_IMES_0227.aspx</t>
        </is>
      </c>
    </row>
    <row r="118" ht="15.75" customHeight="1" s="121">
      <c r="A118" s="128" t="n"/>
      <c r="B118" s="128" t="n"/>
      <c r="C118" s="128" t="n"/>
      <c r="D118" s="128" t="n"/>
      <c r="E118" s="49" t="inlineStr">
        <is>
          <t>포장실적 관리 [PILOT]</t>
        </is>
      </c>
      <c r="F118" s="49" t="inlineStr">
        <is>
          <t>GMES_IM_POM/GMES_IMES_0226.aspx</t>
        </is>
      </c>
    </row>
    <row r="119" ht="15.75" customHeight="1" s="121">
      <c r="A119" s="128" t="n"/>
      <c r="B119" s="128" t="n"/>
      <c r="C119" s="128" t="n"/>
      <c r="D119" s="128" t="n"/>
      <c r="E119" s="49" t="inlineStr">
        <is>
          <t>포장실적 관리 [분석의뢰]</t>
        </is>
      </c>
      <c r="F119" s="49" t="inlineStr">
        <is>
          <t>GMES_IM_POM/GMES_IMES_0228.aspx</t>
        </is>
      </c>
    </row>
    <row r="120" ht="15.75" customHeight="1" s="121">
      <c r="A120" s="128" t="n"/>
      <c r="B120" s="128" t="n"/>
      <c r="C120" s="128" t="n"/>
      <c r="D120" s="128" t="n"/>
      <c r="E120" s="49" t="inlineStr">
        <is>
          <t>재포장관리</t>
        </is>
      </c>
      <c r="F120" s="49" t="inlineStr">
        <is>
          <t>GMES_IM_POM/GMES_IMES_0225.aspx</t>
        </is>
      </c>
    </row>
    <row r="121" ht="15.75" customHeight="1" s="121">
      <c r="A121" s="128" t="n"/>
      <c r="B121" s="128" t="n"/>
      <c r="C121" s="128" t="n"/>
      <c r="D121" s="129" t="n"/>
      <c r="E121" s="49" t="inlineStr">
        <is>
          <t>스캔검증이력조회</t>
        </is>
      </c>
      <c r="F121" s="49" t="inlineStr">
        <is>
          <t>GMES_IM_POM/GMES_IMES_0260.aspx</t>
        </is>
      </c>
    </row>
    <row r="122" ht="15.75" customHeight="1" s="121">
      <c r="A122" s="128" t="n"/>
      <c r="B122" s="128" t="n"/>
      <c r="C122" s="128" t="n"/>
      <c r="D122" s="127" t="inlineStr">
        <is>
          <t>측정관리</t>
        </is>
      </c>
      <c r="E122" s="49" t="inlineStr">
        <is>
          <t>샘플 정보 관리</t>
        </is>
      </c>
      <c r="F122" s="49" t="inlineStr">
        <is>
          <t>GMES_IM_POM/GMES_IMES_2802.aspx</t>
        </is>
      </c>
    </row>
    <row r="123" ht="15.75" customHeight="1" s="121">
      <c r="A123" s="128" t="n"/>
      <c r="B123" s="128" t="n"/>
      <c r="C123" s="128" t="n"/>
      <c r="D123" s="128" t="n"/>
      <c r="E123" s="49" t="inlineStr">
        <is>
          <t>측정정보 관리</t>
        </is>
      </c>
      <c r="F123" s="49" t="inlineStr">
        <is>
          <t>GMES_IM_POM/GMES_IMES_0240.aspx</t>
        </is>
      </c>
    </row>
    <row r="124" ht="15.75" customHeight="1" s="121">
      <c r="A124" s="128" t="n"/>
      <c r="B124" s="128" t="n"/>
      <c r="C124" s="128" t="n"/>
      <c r="D124" s="128" t="n"/>
      <c r="E124" s="49" t="inlineStr">
        <is>
          <t>산소,용기 원단위 제품별 산출조회</t>
        </is>
      </c>
      <c r="F124" s="49" t="inlineStr">
        <is>
          <t>GMES_IM_POM/GMES_IMES_0241.aspx</t>
        </is>
      </c>
    </row>
    <row r="125" ht="15.75" customHeight="1" s="121">
      <c r="A125" s="128" t="n"/>
      <c r="B125" s="128" t="n"/>
      <c r="C125" s="128" t="n"/>
      <c r="D125" s="129" t="n"/>
      <c r="E125" s="49" t="inlineStr">
        <is>
          <t>공정운전정보</t>
        </is>
      </c>
      <c r="F125" s="49" t="inlineStr">
        <is>
          <t>GMES_IM_POM/GMES_IMES_0243.aspx</t>
        </is>
      </c>
    </row>
    <row r="126" ht="15.75" customHeight="1" s="121">
      <c r="A126" s="128" t="n"/>
      <c r="B126" s="128" t="n"/>
      <c r="C126" s="128" t="n"/>
      <c r="D126" s="127" t="inlineStr">
        <is>
          <t>소포장관리</t>
        </is>
      </c>
      <c r="E126" s="49" t="inlineStr">
        <is>
          <t>소포장LOT조회</t>
        </is>
      </c>
      <c r="F126" s="49" t="inlineStr">
        <is>
          <t>GMES_IM_POM/GMES_IMES_0801.aspx</t>
        </is>
      </c>
    </row>
    <row r="127" ht="15.75" customHeight="1" s="121">
      <c r="A127" s="128" t="n"/>
      <c r="B127" s="128" t="n"/>
      <c r="C127" s="128" t="n"/>
      <c r="D127" s="128" t="n"/>
      <c r="E127" s="49" t="inlineStr">
        <is>
          <t>소포장투입이력</t>
        </is>
      </c>
      <c r="F127" s="49" t="inlineStr">
        <is>
          <t>GMES_IM_POM/GMES_IMES_0800.aspx</t>
        </is>
      </c>
    </row>
    <row r="128" ht="15.75" customHeight="1" s="121">
      <c r="A128" s="128" t="n"/>
      <c r="B128" s="128" t="n"/>
      <c r="C128" s="128" t="n"/>
      <c r="D128" s="128" t="n"/>
      <c r="E128" s="49" t="inlineStr">
        <is>
          <t>투입손실집계</t>
        </is>
      </c>
      <c r="F128" s="49" t="inlineStr">
        <is>
          <t>GMES_IM_POM/GMES_IMES_0802.aspx</t>
        </is>
      </c>
    </row>
    <row r="129" ht="15.75" customHeight="1" s="121">
      <c r="A129" s="128" t="n"/>
      <c r="B129" s="129" t="n"/>
      <c r="C129" s="129" t="n"/>
      <c r="D129" s="129" t="n"/>
      <c r="E129" s="49" t="inlineStr">
        <is>
          <t>GP소포장이력</t>
        </is>
      </c>
      <c r="F129" s="49" t="inlineStr">
        <is>
          <t>GMES_IM_POM/GMES_IMES_0803.aspx</t>
        </is>
      </c>
    </row>
    <row r="130" ht="15.75" customHeight="1" s="121">
      <c r="A130" s="128" t="n"/>
      <c r="B130" s="127" t="inlineStr">
        <is>
          <t>생산실적</t>
        </is>
      </c>
      <c r="C130" s="127" t="inlineStr">
        <is>
          <t>생산실적</t>
        </is>
      </c>
      <c r="D130" s="127" t="inlineStr">
        <is>
          <t>실적조정 관리</t>
        </is>
      </c>
      <c r="E130" s="49" t="inlineStr">
        <is>
          <t>공정회수품 관리</t>
        </is>
      </c>
      <c r="F130" s="49" t="inlineStr">
        <is>
          <t>GMES_IM_POM/GMES_IMES_0306.aspx</t>
        </is>
      </c>
    </row>
    <row r="131" ht="15.75" customHeight="1" s="121">
      <c r="A131" s="128" t="n"/>
      <c r="B131" s="128" t="n"/>
      <c r="C131" s="128" t="n"/>
      <c r="D131" s="129" t="n"/>
      <c r="E131" s="49" t="inlineStr">
        <is>
          <t>재처리 이력</t>
        </is>
      </c>
      <c r="F131" s="49" t="inlineStr">
        <is>
          <t>GMES_IM_POM/GMES_IMES_0565.aspx</t>
        </is>
      </c>
    </row>
    <row r="132" ht="15.75" customHeight="1" s="121">
      <c r="A132" s="128" t="n"/>
      <c r="B132" s="128" t="n"/>
      <c r="C132" s="128" t="n"/>
      <c r="D132" s="127" t="inlineStr">
        <is>
          <t>정보조회</t>
        </is>
      </c>
      <c r="E132" s="49" t="inlineStr">
        <is>
          <t>재처리실적 조회[관리자]</t>
        </is>
      </c>
      <c r="F132" s="49" t="inlineStr">
        <is>
          <t>GMES_IM_POM/GMES_IMES_0312.aspx</t>
        </is>
      </c>
    </row>
    <row r="133" ht="15.75" customHeight="1" s="121">
      <c r="A133" s="128" t="n"/>
      <c r="B133" s="128" t="n"/>
      <c r="C133" s="128" t="n"/>
      <c r="D133" s="128" t="n"/>
      <c r="E133" s="49" t="inlineStr">
        <is>
          <t>소성점검 일지</t>
        </is>
      </c>
      <c r="F133" s="49" t="inlineStr">
        <is>
          <t>GMES_IM_POM/GMES_IMES_0239.aspx</t>
        </is>
      </c>
    </row>
    <row r="134" ht="15.75" customHeight="1" s="121">
      <c r="A134" s="128" t="n"/>
      <c r="B134" s="128" t="n"/>
      <c r="C134" s="128" t="n"/>
      <c r="D134" s="128" t="n"/>
      <c r="E134" s="49" t="inlineStr">
        <is>
          <t>소성Capa. 조회</t>
        </is>
      </c>
      <c r="F134" s="49" t="inlineStr">
        <is>
          <t>GMES_IM_POM/GMES_IMES_0315.aspx</t>
        </is>
      </c>
    </row>
    <row r="135" ht="15.75" customHeight="1" s="121">
      <c r="A135" s="128" t="n"/>
      <c r="B135" s="128" t="n"/>
      <c r="C135" s="128" t="n"/>
      <c r="D135" s="128" t="n"/>
      <c r="E135" s="49" t="inlineStr">
        <is>
          <t>생산실적 조회(T)</t>
        </is>
      </c>
      <c r="F135" s="49" t="inlineStr">
        <is>
          <t>GMES_IM_POM/GMES_IMES_0310_1.aspx</t>
        </is>
      </c>
    </row>
    <row r="136" ht="15.75" customHeight="1" s="121">
      <c r="A136" s="128" t="n"/>
      <c r="B136" s="128" t="n"/>
      <c r="C136" s="128" t="n"/>
      <c r="D136" s="128" t="n"/>
      <c r="E136" s="49" t="inlineStr">
        <is>
          <t>소성 차압일지</t>
        </is>
      </c>
      <c r="F136" s="49" t="inlineStr">
        <is>
          <t>GMES_IM_POM/GMES_IMES_0238.aspx</t>
        </is>
      </c>
    </row>
    <row r="137" ht="15.75" customHeight="1" s="121">
      <c r="A137" s="128" t="n"/>
      <c r="B137" s="128" t="n"/>
      <c r="C137" s="128" t="n"/>
      <c r="D137" s="128" t="n"/>
      <c r="E137" s="49" t="inlineStr">
        <is>
          <t>이상품 재고 발생 현황</t>
        </is>
      </c>
      <c r="F137" s="49" t="inlineStr">
        <is>
          <t>GMES_IM_POM/GMES_IMES_0570.aspx</t>
        </is>
      </c>
    </row>
    <row r="138" ht="15.75" customHeight="1" s="121">
      <c r="A138" s="128" t="n"/>
      <c r="B138" s="128" t="n"/>
      <c r="C138" s="128" t="n"/>
      <c r="D138" s="129" t="n"/>
      <c r="E138" s="49" t="inlineStr">
        <is>
          <t>DataLake 지표</t>
        </is>
      </c>
      <c r="F138" s="49" t="inlineStr">
        <is>
          <t>GMES_IM_POM/GMES_IMES_0257.aspx</t>
        </is>
      </c>
    </row>
    <row r="139" ht="15.75" customHeight="1" s="121">
      <c r="A139" s="128" t="n"/>
      <c r="B139" s="128" t="n"/>
      <c r="C139" s="128" t="n"/>
      <c r="D139" s="127" t="inlineStr">
        <is>
          <t>수율 Report</t>
        </is>
      </c>
      <c r="E139" s="49" t="inlineStr">
        <is>
          <t>수불이력조회(양극재)</t>
        </is>
      </c>
      <c r="F139" s="49" t="inlineStr">
        <is>
          <t>GMES_IM_POM/GMES_IMES_1100.aspx</t>
        </is>
      </c>
    </row>
    <row r="140" ht="15.75" customHeight="1" s="121">
      <c r="A140" s="128" t="n"/>
      <c r="B140" s="128" t="n"/>
      <c r="C140" s="128" t="n"/>
      <c r="D140" s="128" t="n"/>
      <c r="E140" s="49" t="inlineStr">
        <is>
          <t>수율(RTY) 조회</t>
        </is>
      </c>
      <c r="F140" s="49" t="inlineStr">
        <is>
          <t>GMES_IM_POM/GMES_IMES_0287.aspx</t>
        </is>
      </c>
    </row>
    <row r="141" ht="15.75" customHeight="1" s="121">
      <c r="A141" s="128" t="n"/>
      <c r="B141" s="128" t="n"/>
      <c r="C141" s="128" t="n"/>
      <c r="D141" s="128" t="n"/>
      <c r="E141" s="49" t="inlineStr">
        <is>
          <t>수율(RTY) Report</t>
        </is>
      </c>
      <c r="F141" s="49" t="inlineStr">
        <is>
          <t>GMES_IM_POM/GMES_IMES_0288.aspx</t>
        </is>
      </c>
    </row>
    <row r="142" ht="15.75" customHeight="1" s="121">
      <c r="A142" s="128" t="n"/>
      <c r="B142" s="128" t="n"/>
      <c r="C142" s="128" t="n"/>
      <c r="D142" s="128" t="n"/>
      <c r="E142" s="49" t="inlineStr">
        <is>
          <t>수율집계 대상 List 조회</t>
        </is>
      </c>
      <c r="F142" s="49" t="inlineStr">
        <is>
          <t>GMES_IM_POM/GMES_IMES_0285.aspx</t>
        </is>
      </c>
    </row>
    <row r="143" ht="15.75" customHeight="1" s="121">
      <c r="A143" s="128" t="n"/>
      <c r="B143" s="129" t="n"/>
      <c r="C143" s="129" t="n"/>
      <c r="D143" s="129" t="n"/>
      <c r="E143" s="49" t="inlineStr">
        <is>
          <t>수율집계대상 변경이력</t>
        </is>
      </c>
      <c r="F143" s="49" t="inlineStr">
        <is>
          <t>GMES_IM_POM/GMES_IMES_0286.aspx</t>
        </is>
      </c>
    </row>
    <row r="144" ht="15.75" customHeight="1" s="121">
      <c r="A144" s="128" t="n"/>
      <c r="B144" s="127" t="inlineStr">
        <is>
          <t>물류관리</t>
        </is>
      </c>
      <c r="C144" s="127" t="inlineStr">
        <is>
          <t>물류관리</t>
        </is>
      </c>
      <c r="D144" s="50" t="inlineStr">
        <is>
          <t>출하관리</t>
        </is>
      </c>
      <c r="E144" s="49" t="inlineStr">
        <is>
          <t>출하실적 작성_NEW</t>
        </is>
      </c>
      <c r="F144" s="49" t="inlineStr">
        <is>
          <t>GMES_IM_POM/GMES_IMES_0410.aspx</t>
        </is>
      </c>
    </row>
    <row r="145" ht="15.75" customHeight="1" s="121">
      <c r="A145" s="128" t="n"/>
      <c r="B145" s="128" t="n"/>
      <c r="C145" s="128" t="n"/>
      <c r="D145" s="50" t="inlineStr">
        <is>
          <t>물류이동</t>
        </is>
      </c>
      <c r="E145" s="49" t="inlineStr">
        <is>
          <t>자동창고 I/F 조회</t>
        </is>
      </c>
      <c r="F145" s="49" t="inlineStr">
        <is>
          <t>GMES_IM_POM/GMES_IMES_0423.aspx</t>
        </is>
      </c>
    </row>
    <row r="146" ht="15.75" customHeight="1" s="121">
      <c r="A146" s="128" t="n"/>
      <c r="B146" s="128" t="n"/>
      <c r="C146" s="128" t="n"/>
      <c r="D146" s="127" t="inlineStr">
        <is>
          <t>샘플출하</t>
        </is>
      </c>
      <c r="E146" s="49" t="inlineStr">
        <is>
          <t>샘플출하 작성</t>
        </is>
      </c>
      <c r="F146" s="49" t="inlineStr">
        <is>
          <t>GMES_IM_POM/GMES_IMES_0700.aspx</t>
        </is>
      </c>
    </row>
    <row r="147" ht="15.75" customHeight="1" s="121">
      <c r="A147" s="128" t="n"/>
      <c r="B147" s="128" t="n"/>
      <c r="C147" s="128" t="n"/>
      <c r="D147" s="128" t="n"/>
      <c r="E147" s="49" t="inlineStr">
        <is>
          <t>샘플출하 현황</t>
        </is>
      </c>
      <c r="F147" s="49" t="inlineStr">
        <is>
          <t>GMES_IM_POM/GMES_IMES_0701.aspx</t>
        </is>
      </c>
    </row>
    <row r="148" ht="15.75" customHeight="1" s="121">
      <c r="A148" s="128" t="n"/>
      <c r="B148" s="129" t="n"/>
      <c r="C148" s="129" t="n"/>
      <c r="D148" s="129" t="n"/>
      <c r="E148" s="49" t="inlineStr">
        <is>
          <t>샘플검사 등록</t>
        </is>
      </c>
      <c r="F148" s="49" t="inlineStr">
        <is>
          <t>GMES_IM_POM/GMES_IMES_0702.aspx</t>
        </is>
      </c>
    </row>
    <row r="149" ht="15.75" customHeight="1" s="121">
      <c r="A149" s="128" t="n"/>
      <c r="B149" s="127" t="inlineStr">
        <is>
          <t>재고관리</t>
        </is>
      </c>
      <c r="C149" s="127" t="inlineStr">
        <is>
          <t>재고관리</t>
        </is>
      </c>
      <c r="D149" s="127" t="inlineStr">
        <is>
          <t>재고실사</t>
        </is>
      </c>
      <c r="E149" s="49" t="inlineStr">
        <is>
          <t>재고 수정</t>
        </is>
      </c>
      <c r="F149" s="49" t="inlineStr">
        <is>
          <t>GMES_IM_POM/GMES_IMES_2601_BM.aspx</t>
        </is>
      </c>
    </row>
    <row r="150" ht="15.75" customHeight="1" s="121">
      <c r="A150" s="128" t="n"/>
      <c r="B150" s="128" t="n"/>
      <c r="C150" s="128" t="n"/>
      <c r="D150" s="129" t="n"/>
      <c r="E150" s="49" t="inlineStr">
        <is>
          <t>재공 조정</t>
        </is>
      </c>
      <c r="F150" s="49" t="inlineStr">
        <is>
          <t>GMES_IM_POM/GMES_IMES_2602.aspx</t>
        </is>
      </c>
    </row>
    <row r="151" ht="15.75" customHeight="1" s="121">
      <c r="A151" s="128" t="n"/>
      <c r="B151" s="128" t="n"/>
      <c r="C151" s="128" t="n"/>
      <c r="D151" s="127" t="inlineStr">
        <is>
          <t>재고마감</t>
        </is>
      </c>
      <c r="E151" s="49" t="inlineStr">
        <is>
          <t>BizWF출고처리</t>
        </is>
      </c>
      <c r="F151" s="49" t="inlineStr">
        <is>
          <t>GMES_POM/GMES_IMS_2541.aspx</t>
        </is>
      </c>
    </row>
    <row r="152" ht="15.75" customHeight="1" s="121">
      <c r="A152" s="128" t="n"/>
      <c r="B152" s="128" t="n"/>
      <c r="C152" s="128" t="n"/>
      <c r="D152" s="128" t="n"/>
      <c r="E152" s="49" t="inlineStr">
        <is>
          <t>MTM 처리</t>
        </is>
      </c>
      <c r="F152" s="49" t="inlineStr">
        <is>
          <t>GMES_POM/GMES_IMS_2542.aspx</t>
        </is>
      </c>
    </row>
    <row r="153" ht="15.75" customHeight="1" s="121">
      <c r="A153" s="128" t="n"/>
      <c r="B153" s="128" t="n"/>
      <c r="C153" s="128" t="n"/>
      <c r="D153" s="128" t="n"/>
      <c r="E153" s="49" t="inlineStr">
        <is>
          <t>MTM 조회 및 취소</t>
        </is>
      </c>
      <c r="F153" s="49" t="inlineStr">
        <is>
          <t>GMES_POM/GMES_IMS_2543.aspx</t>
        </is>
      </c>
    </row>
    <row r="154" ht="15.75" customHeight="1" s="121">
      <c r="A154" s="128" t="n"/>
      <c r="B154" s="128" t="n"/>
      <c r="C154" s="128" t="n"/>
      <c r="D154" s="128" t="n"/>
      <c r="E154" s="49" t="inlineStr">
        <is>
          <t>생산마감 MES/ERP 처리현황</t>
        </is>
      </c>
      <c r="F154" s="49" t="inlineStr">
        <is>
          <t>GMES_IM_POM/GMES_IMES_2611.aspx</t>
        </is>
      </c>
    </row>
    <row r="155" ht="15.75" customHeight="1" s="121">
      <c r="A155" s="128" t="n"/>
      <c r="B155" s="128" t="n"/>
      <c r="C155" s="128" t="n"/>
      <c r="D155" s="129" t="n"/>
      <c r="E155" s="49" t="inlineStr">
        <is>
          <t>생산마감</t>
        </is>
      </c>
      <c r="F155" s="49" t="inlineStr">
        <is>
          <t>GMES_IM_POM/GMES_IMES_2612.aspx</t>
        </is>
      </c>
    </row>
    <row r="156" ht="15.75" customHeight="1" s="121">
      <c r="A156" s="128" t="n"/>
      <c r="B156" s="128" t="n"/>
      <c r="C156" s="128" t="n"/>
      <c r="D156" s="127" t="inlineStr">
        <is>
          <t>정보조회</t>
        </is>
      </c>
      <c r="E156" s="49" t="inlineStr">
        <is>
          <t>창고 현황 조회</t>
        </is>
      </c>
      <c r="F156" s="49" t="inlineStr">
        <is>
          <t>GMES_IM_POM/GMES_IMES_0555.aspx</t>
        </is>
      </c>
    </row>
    <row r="157" ht="15.75" customHeight="1" s="121">
      <c r="A157" s="128" t="n"/>
      <c r="B157" s="128" t="n"/>
      <c r="C157" s="128" t="n"/>
      <c r="D157" s="129" t="n"/>
      <c r="E157" s="49" t="inlineStr">
        <is>
          <t>재고 관리 현황</t>
        </is>
      </c>
      <c r="F157" s="49" t="inlineStr">
        <is>
          <t>GMES_IM_POM/GMES_IMES_0560.aspx</t>
        </is>
      </c>
    </row>
    <row r="158" ht="15.75" customHeight="1" s="121">
      <c r="A158" s="128" t="n"/>
      <c r="B158" s="128" t="n"/>
      <c r="C158" s="128" t="n"/>
      <c r="D158" s="127" t="inlineStr">
        <is>
          <t>ERP I/F</t>
        </is>
      </c>
      <c r="E158" s="49" t="inlineStr">
        <is>
          <t>ERP I/F 결과 [실적]</t>
        </is>
      </c>
      <c r="F158" s="49" t="inlineStr">
        <is>
          <t>GMES_IM_POM/GMES_IMES_0530.aspx</t>
        </is>
      </c>
    </row>
    <row r="159" ht="15.75" customHeight="1" s="121">
      <c r="A159" s="128" t="n"/>
      <c r="B159" s="128" t="n"/>
      <c r="C159" s="128" t="n"/>
      <c r="D159" s="128" t="n"/>
      <c r="E159" s="49" t="inlineStr">
        <is>
          <t>ERP I/F 결과 [이전전기]</t>
        </is>
      </c>
      <c r="F159" s="49" t="inlineStr">
        <is>
          <t>GMES_IM_POM/GMES_IMES_0531.aspx</t>
        </is>
      </c>
    </row>
    <row r="160" ht="15.75" customHeight="1" s="121">
      <c r="A160" s="128" t="n"/>
      <c r="B160" s="128" t="n"/>
      <c r="C160" s="128" t="n"/>
      <c r="D160" s="128" t="n"/>
      <c r="E160" s="49" t="inlineStr">
        <is>
          <t>재고실사 문서생성</t>
        </is>
      </c>
      <c r="F160" s="49" t="inlineStr">
        <is>
          <t>GMES_POM/GMES_IMS_0923.aspx</t>
        </is>
      </c>
    </row>
    <row r="161" ht="15.75" customHeight="1" s="121">
      <c r="A161" s="128" t="n"/>
      <c r="B161" s="128" t="n"/>
      <c r="C161" s="128" t="n"/>
      <c r="D161" s="128" t="n"/>
      <c r="E161" s="49" t="inlineStr">
        <is>
          <t>재고실사 입력</t>
        </is>
      </c>
      <c r="F161" s="49" t="inlineStr">
        <is>
          <t>GMES_POM/GMES_IMS_0924.aspx</t>
        </is>
      </c>
    </row>
    <row r="162" ht="15.75" customHeight="1" s="121">
      <c r="A162" s="128" t="n"/>
      <c r="B162" s="128" t="n"/>
      <c r="C162" s="128" t="n"/>
      <c r="D162" s="128" t="n"/>
      <c r="E162" s="49" t="inlineStr">
        <is>
          <t>재고실사 차이배부</t>
        </is>
      </c>
      <c r="F162" s="49" t="inlineStr">
        <is>
          <t>GMES_POM/GMES_IMS_0925.aspx</t>
        </is>
      </c>
    </row>
    <row r="163" ht="15.75" customHeight="1" s="121">
      <c r="A163" s="128" t="n"/>
      <c r="B163" s="128" t="n"/>
      <c r="C163" s="128" t="n"/>
      <c r="D163" s="128" t="n"/>
      <c r="E163" s="49" t="inlineStr">
        <is>
          <t>재고실사 ERP반영</t>
        </is>
      </c>
      <c r="F163" s="49" t="inlineStr">
        <is>
          <t>GMES_POM/GMES_IMS_0926.aspx</t>
        </is>
      </c>
    </row>
    <row r="164" ht="15.75" customHeight="1" s="121">
      <c r="A164" s="128" t="n"/>
      <c r="B164" s="128" t="n"/>
      <c r="C164" s="128" t="n"/>
      <c r="D164" s="128" t="n"/>
      <c r="E164" s="49" t="inlineStr">
        <is>
          <t>ERP 무상사급차후조정</t>
        </is>
      </c>
      <c r="F164" s="49" t="inlineStr">
        <is>
          <t>GMES_POM/GMES_IMS_0927.aspx</t>
        </is>
      </c>
    </row>
    <row r="165" ht="15.75" customHeight="1" s="121">
      <c r="A165" s="128" t="n"/>
      <c r="B165" s="128" t="n"/>
      <c r="C165" s="128" t="n"/>
      <c r="D165" s="128" t="n"/>
      <c r="E165" s="49" t="inlineStr">
        <is>
          <t>ERP 기타출고 처리</t>
        </is>
      </c>
      <c r="F165" s="49" t="inlineStr">
        <is>
          <t>GMES_POM/GMES_IMS_0928.aspx</t>
        </is>
      </c>
    </row>
    <row r="166" ht="15.75" customHeight="1" s="121">
      <c r="A166" s="128" t="n"/>
      <c r="B166" s="128" t="n"/>
      <c r="C166" s="128" t="n"/>
      <c r="D166" s="128" t="n"/>
      <c r="E166" s="49" t="inlineStr">
        <is>
          <t>ERP 투입조정</t>
        </is>
      </c>
      <c r="F166" s="49" t="inlineStr">
        <is>
          <t>GMES_POM/GMES_IMS_0581.aspx</t>
        </is>
      </c>
    </row>
    <row r="167" ht="15.75" customHeight="1" s="121">
      <c r="A167" s="128" t="n"/>
      <c r="B167" s="128" t="n"/>
      <c r="C167" s="128" t="n"/>
      <c r="D167" s="128" t="n"/>
      <c r="E167" s="49" t="inlineStr">
        <is>
          <t>ERP 재고 이전전기</t>
        </is>
      </c>
      <c r="F167" s="49" t="inlineStr">
        <is>
          <t>GMES_POM/GMES_IMS_0582.aspx</t>
        </is>
      </c>
    </row>
    <row r="168" ht="15.75" customHeight="1" s="121">
      <c r="A168" s="128" t="n"/>
      <c r="B168" s="128" t="n"/>
      <c r="C168" s="128" t="n"/>
      <c r="D168" s="128" t="n"/>
      <c r="E168" s="49" t="inlineStr">
        <is>
          <t>ERP 생산실적</t>
        </is>
      </c>
      <c r="F168" s="49" t="inlineStr">
        <is>
          <t>GMES_POM/GMES_IMS_0584.aspx</t>
        </is>
      </c>
    </row>
    <row r="169" ht="15.75" customHeight="1" s="121">
      <c r="A169" s="128" t="n"/>
      <c r="B169" s="128" t="n"/>
      <c r="C169" s="128" t="n"/>
      <c r="D169" s="128" t="n"/>
      <c r="E169" s="49" t="inlineStr">
        <is>
          <t>ERP 전표조회</t>
        </is>
      </c>
      <c r="F169" s="49" t="inlineStr">
        <is>
          <t>GMES_POM/GMES_IMS_0583.aspx</t>
        </is>
      </c>
    </row>
    <row r="170" ht="15.75" customHeight="1" s="121">
      <c r="A170" s="128" t="n"/>
      <c r="B170" s="129" t="n"/>
      <c r="C170" s="129" t="n"/>
      <c r="D170" s="129" t="n"/>
      <c r="E170" s="49" t="inlineStr">
        <is>
          <t>ERP 시점재고 I/F 이력조회</t>
        </is>
      </c>
      <c r="F170" s="49" t="inlineStr">
        <is>
          <t>GMES_POM/GMES_IMS_0585.aspx</t>
        </is>
      </c>
    </row>
    <row r="171" ht="15.75" customHeight="1" s="121">
      <c r="A171" s="128" t="n"/>
      <c r="B171" s="127" t="inlineStr">
        <is>
          <t>생산일지</t>
        </is>
      </c>
      <c r="C171" s="127" t="inlineStr">
        <is>
          <t>생산일지</t>
        </is>
      </c>
      <c r="D171" s="127" t="inlineStr">
        <is>
          <t>생산팀 관리일지</t>
        </is>
      </c>
      <c r="E171" s="49" t="inlineStr">
        <is>
          <t>일지관리</t>
        </is>
      </c>
      <c r="F171" s="49" t="inlineStr">
        <is>
          <t>GMES_IM_POM/GMES_IMES_0272.aspx</t>
        </is>
      </c>
    </row>
    <row r="172" ht="15.75" customHeight="1" s="121">
      <c r="A172" s="128" t="n"/>
      <c r="B172" s="128" t="n"/>
      <c r="C172" s="128" t="n"/>
      <c r="D172" s="128" t="n"/>
      <c r="E172" s="49" t="inlineStr">
        <is>
          <t>JC일지관리</t>
        </is>
      </c>
      <c r="F172" s="49" t="inlineStr">
        <is>
          <t>GMES_IM_POM/GMES_IMES_0273.aspx</t>
        </is>
      </c>
    </row>
    <row r="173" ht="15.75" customHeight="1" s="121">
      <c r="A173" s="128" t="n"/>
      <c r="B173" s="128" t="n"/>
      <c r="C173" s="128" t="n"/>
      <c r="D173" s="128" t="n"/>
      <c r="E173" s="49" t="inlineStr">
        <is>
          <t>가이드 이미지 관리</t>
        </is>
      </c>
      <c r="F173" s="49" t="inlineStr">
        <is>
          <t>GMES_IM_POM/GMES_IMES_0274.aspx</t>
        </is>
      </c>
    </row>
    <row r="174" ht="15.75" customHeight="1" s="121">
      <c r="A174" s="128" t="n"/>
      <c r="B174" s="128" t="n"/>
      <c r="C174" s="128" t="n"/>
      <c r="D174" s="128" t="n"/>
      <c r="E174" s="49" t="inlineStr">
        <is>
          <t>소분량점검 일지</t>
        </is>
      </c>
      <c r="F174" s="49" t="inlineStr">
        <is>
          <t>GMES_IM_POM/GMES_IMES_0275.aspx</t>
        </is>
      </c>
    </row>
    <row r="175" ht="15.75" customHeight="1" s="121">
      <c r="A175" s="128" t="n"/>
      <c r="B175" s="128" t="n"/>
      <c r="C175" s="128" t="n"/>
      <c r="D175" s="128" t="n"/>
      <c r="E175" s="49" t="inlineStr">
        <is>
          <t>자주점검 NG관리</t>
        </is>
      </c>
      <c r="F175" s="49" t="inlineStr">
        <is>
          <t>GMES_IM_POM/GMES_IMES_0276.aspx</t>
        </is>
      </c>
    </row>
    <row r="176" ht="15.75" customHeight="1" s="121">
      <c r="A176" s="128" t="n"/>
      <c r="B176" s="128" t="n"/>
      <c r="C176" s="128" t="n"/>
      <c r="D176" s="129" t="n"/>
      <c r="E176" s="49" t="inlineStr">
        <is>
          <t>공정일지[차수]</t>
        </is>
      </c>
      <c r="F176" s="49" t="inlineStr">
        <is>
          <t>GMES_IM_POM/GMES_IMES_0277.aspx</t>
        </is>
      </c>
    </row>
    <row r="177" ht="15.75" customHeight="1" s="121">
      <c r="A177" s="128" t="n"/>
      <c r="B177" s="129" t="n"/>
      <c r="C177" s="129" t="n"/>
      <c r="D177" s="50" t="inlineStr">
        <is>
          <t>정보조회</t>
        </is>
      </c>
      <c r="E177" s="49" t="inlineStr">
        <is>
          <t>일지 현황판</t>
        </is>
      </c>
      <c r="F177" s="49" t="inlineStr">
        <is>
          <t>GMES_IM_POM/GMES_IMES_0279.aspx</t>
        </is>
      </c>
    </row>
    <row r="178" ht="15.75" customHeight="1" s="121">
      <c r="A178" s="128" t="n"/>
      <c r="B178" s="127" t="inlineStr">
        <is>
          <t>협력사일지</t>
        </is>
      </c>
      <c r="C178" s="127" t="inlineStr">
        <is>
          <t>협력사일지</t>
        </is>
      </c>
      <c r="D178" s="127" t="inlineStr">
        <is>
          <t>협력사 관리일지</t>
        </is>
      </c>
      <c r="E178" s="49" t="inlineStr">
        <is>
          <t>프로에스컴 일지관리</t>
        </is>
      </c>
      <c r="F178" s="49" t="inlineStr">
        <is>
          <t>GMES_IM_POM/GMES_IMES_0272.aspx</t>
        </is>
      </c>
    </row>
    <row r="179" ht="15.75" customHeight="1" s="121">
      <c r="A179" s="128" t="n"/>
      <c r="B179" s="128" t="n"/>
      <c r="C179" s="128" t="n"/>
      <c r="D179" s="129" t="n"/>
      <c r="E179" s="49" t="inlineStr">
        <is>
          <t>디에스피 일지관리</t>
        </is>
      </c>
      <c r="F179" s="49" t="inlineStr">
        <is>
          <t>GMES_IM_POM/GMES_IMES_0272.aspx</t>
        </is>
      </c>
    </row>
    <row r="180" ht="15.75" customHeight="1" s="121">
      <c r="A180" s="128" t="n"/>
      <c r="B180" s="129" t="n"/>
      <c r="C180" s="129" t="n"/>
      <c r="D180" s="50" t="inlineStr">
        <is>
          <t>정보조회</t>
        </is>
      </c>
      <c r="E180" s="49" t="inlineStr">
        <is>
          <t>일지 현황판</t>
        </is>
      </c>
      <c r="F180" s="49" t="inlineStr">
        <is>
          <t>GMES_IM_POM/GMES_IMES_0279.aspx</t>
        </is>
      </c>
    </row>
    <row r="181" ht="15.75" customHeight="1" s="121">
      <c r="A181" s="128" t="n"/>
      <c r="B181" s="127" t="inlineStr">
        <is>
          <t>시스템관리</t>
        </is>
      </c>
      <c r="C181" s="127" t="inlineStr">
        <is>
          <t>시스템관리</t>
        </is>
      </c>
      <c r="D181" s="50" t="inlineStr">
        <is>
          <t>사용자관리</t>
        </is>
      </c>
      <c r="E181" s="49" t="inlineStr">
        <is>
          <t>사용자</t>
        </is>
      </c>
      <c r="F181" s="49" t="inlineStr">
        <is>
          <t>COMM_FRW/COMM_FRW_0001.aspx</t>
        </is>
      </c>
    </row>
    <row r="182" ht="15.75" customHeight="1" s="121">
      <c r="A182" s="128" t="n"/>
      <c r="B182" s="128" t="n"/>
      <c r="C182" s="128" t="n"/>
      <c r="D182" s="50" t="inlineStr">
        <is>
          <t>게시판</t>
        </is>
      </c>
      <c r="E182" s="49" t="inlineStr">
        <is>
          <t>(개발중)네비게이터</t>
        </is>
      </c>
      <c r="F182" s="49" t="inlineStr">
        <is>
          <t>GMES_IM_POM/GMES_IMES_8000.aspx</t>
        </is>
      </c>
    </row>
    <row r="183" ht="15.75" customHeight="1" s="121">
      <c r="A183" s="128" t="n"/>
      <c r="B183" s="128" t="n"/>
      <c r="C183" s="128" t="n"/>
      <c r="D183" s="50" t="inlineStr">
        <is>
          <t>표준관리</t>
        </is>
      </c>
      <c r="E183" s="49" t="inlineStr">
        <is>
          <t>GMES 운영지표</t>
        </is>
      </c>
      <c r="F183" s="49" t="inlineStr">
        <is>
          <t>GMES_POM/GMES_IMS_0814.aspx</t>
        </is>
      </c>
    </row>
    <row r="184" ht="15.75" customHeight="1" s="121">
      <c r="A184" s="129" t="n"/>
      <c r="B184" s="129" t="n"/>
      <c r="C184" s="129" t="n"/>
      <c r="D184" s="50" t="inlineStr">
        <is>
          <t>개발자 관리</t>
        </is>
      </c>
      <c r="E184" s="49" t="inlineStr">
        <is>
          <t>Biz Rule 조회</t>
        </is>
      </c>
      <c r="F184" s="49" t="inlineStr">
        <is>
          <t>GMES_IM_POM/GMES_IMES_4000.aspx</t>
        </is>
      </c>
    </row>
    <row r="185" ht="15.75" customHeight="1" s="121"/>
    <row r="186" ht="15.75" customHeight="1" s="121"/>
    <row r="187" ht="15.75" customHeight="1" s="121"/>
    <row r="188" ht="15.75" customHeight="1" s="121"/>
    <row r="189" ht="15.75" customHeight="1" s="121"/>
    <row r="190" ht="15.75" customHeight="1" s="121"/>
    <row r="191" ht="15.75" customHeight="1" s="121"/>
    <row r="192" ht="15.75" customHeight="1" s="121"/>
    <row r="193" ht="15.75" customHeight="1" s="121"/>
    <row r="194" ht="15.75" customHeight="1" s="121"/>
    <row r="195" ht="15.75" customHeight="1" s="121"/>
    <row r="196" ht="15.75" customHeight="1" s="121"/>
    <row r="197" ht="15.75" customHeight="1" s="121"/>
    <row r="198" ht="15.75" customHeight="1" s="121"/>
    <row r="199" ht="15.75" customHeight="1" s="121"/>
    <row r="200" ht="15.75" customHeight="1" s="121"/>
    <row r="201" ht="15.75" customHeight="1" s="121"/>
    <row r="202" ht="15.75" customHeight="1" s="121"/>
    <row r="203" ht="15.75" customHeight="1" s="121"/>
    <row r="204" ht="15.75" customHeight="1" s="121"/>
    <row r="205" ht="15.75" customHeight="1" s="121"/>
    <row r="206" ht="15.75" customHeight="1" s="121"/>
    <row r="207" ht="15.75" customHeight="1" s="121"/>
    <row r="208" ht="15.75" customHeight="1" s="121"/>
    <row r="209" ht="15.75" customHeight="1" s="121"/>
    <row r="210" ht="15.75" customHeight="1" s="121"/>
    <row r="211" ht="15.75" customHeight="1" s="121"/>
    <row r="212" ht="15.75" customHeight="1" s="121"/>
    <row r="213" ht="15.75" customHeight="1" s="121"/>
    <row r="214" ht="15.75" customHeight="1" s="121"/>
    <row r="215" ht="15.75" customHeight="1" s="121"/>
    <row r="216" ht="15.75" customHeight="1" s="121"/>
    <row r="217" ht="15.75" customHeight="1" s="121"/>
    <row r="218" ht="15.75" customHeight="1" s="121"/>
    <row r="219" ht="15.75" customHeight="1" s="121"/>
    <row r="220" ht="15.75" customHeight="1" s="121"/>
    <row r="221" ht="15.75" customHeight="1" s="121"/>
    <row r="222" ht="15.75" customHeight="1" s="121"/>
    <row r="223" ht="15.75" customHeight="1" s="121"/>
    <row r="224" ht="15.75" customHeight="1" s="121"/>
    <row r="225" ht="15.75" customHeight="1" s="121"/>
    <row r="226" ht="15.75" customHeight="1" s="121"/>
    <row r="227" ht="15.75" customHeight="1" s="121"/>
    <row r="228" ht="15.75" customHeight="1" s="121"/>
    <row r="229" ht="15.75" customHeight="1" s="121"/>
    <row r="230" ht="15.75" customHeight="1" s="121"/>
    <row r="231" ht="15.75" customHeight="1" s="121"/>
    <row r="232" ht="15.75" customHeight="1" s="121"/>
    <row r="233" ht="15.75" customHeight="1" s="121"/>
    <row r="234" ht="15.75" customHeight="1" s="121"/>
    <row r="235" ht="15.75" customHeight="1" s="121"/>
    <row r="236" ht="15.75" customHeight="1" s="121"/>
    <row r="237" ht="15.75" customHeight="1" s="121"/>
    <row r="238" ht="15.75" customHeight="1" s="121"/>
    <row r="239" ht="15.75" customHeight="1" s="121"/>
    <row r="240" ht="15.75" customHeight="1" s="121"/>
    <row r="241" ht="15.75" customHeight="1" s="121"/>
    <row r="242" ht="15.75" customHeight="1" s="121"/>
    <row r="243" ht="15.75" customHeight="1" s="121"/>
    <row r="244" ht="15.75" customHeight="1" s="121"/>
    <row r="245" ht="15.75" customHeight="1" s="121"/>
    <row r="246" ht="15.75" customHeight="1" s="121"/>
    <row r="247" ht="15.75" customHeight="1" s="121"/>
    <row r="248" ht="15.75" customHeight="1" s="121"/>
    <row r="249" ht="15.75" customHeight="1" s="121"/>
    <row r="250" ht="15.75" customHeight="1" s="121"/>
    <row r="251" ht="15.75" customHeight="1" s="121"/>
    <row r="252" ht="15.75" customHeight="1" s="121"/>
    <row r="253" ht="15.75" customHeight="1" s="121"/>
    <row r="254" ht="15.75" customHeight="1" s="121"/>
    <row r="255" ht="15.75" customHeight="1" s="121"/>
    <row r="256" ht="15.75" customHeight="1" s="121"/>
    <row r="257" ht="15.75" customHeight="1" s="121"/>
    <row r="258" ht="15.75" customHeight="1" s="121"/>
    <row r="259" ht="15.75" customHeight="1" s="121"/>
    <row r="260" ht="15.75" customHeight="1" s="121"/>
    <row r="261" ht="15.75" customHeight="1" s="121"/>
    <row r="262" ht="15.75" customHeight="1" s="121"/>
    <row r="263" ht="15.75" customHeight="1" s="121"/>
    <row r="264" ht="15.75" customHeight="1" s="121"/>
    <row r="265" ht="15.75" customHeight="1" s="121"/>
    <row r="266" ht="15.75" customHeight="1" s="121"/>
    <row r="267" ht="15.75" customHeight="1" s="121"/>
    <row r="268" ht="15.75" customHeight="1" s="121"/>
    <row r="269" ht="15.75" customHeight="1" s="121"/>
    <row r="270" ht="15.75" customHeight="1" s="121"/>
    <row r="271" ht="15.75" customHeight="1" s="121"/>
    <row r="272" ht="15.75" customHeight="1" s="121"/>
    <row r="273" ht="15.75" customHeight="1" s="121"/>
    <row r="274" ht="15.75" customHeight="1" s="121"/>
    <row r="275" ht="15.75" customHeight="1" s="121"/>
    <row r="276" ht="15.75" customHeight="1" s="121"/>
    <row r="277" ht="15.75" customHeight="1" s="121"/>
    <row r="278" ht="15.75" customHeight="1" s="121"/>
    <row r="279" ht="15.75" customHeight="1" s="121"/>
    <row r="280" ht="15.75" customHeight="1" s="121"/>
    <row r="281" ht="15.75" customHeight="1" s="121"/>
    <row r="282" ht="15.75" customHeight="1" s="121"/>
    <row r="283" ht="15.75" customHeight="1" s="121"/>
    <row r="284" ht="15.75" customHeight="1" s="121"/>
    <row r="285" ht="15.75" customHeight="1" s="121"/>
    <row r="286" ht="15.75" customHeight="1" s="121"/>
    <row r="287" ht="15.75" customHeight="1" s="121"/>
    <row r="288" ht="15.75" customHeight="1" s="121"/>
    <row r="289" ht="15.75" customHeight="1" s="121"/>
    <row r="290" ht="15.75" customHeight="1" s="121"/>
    <row r="291" ht="15.75" customHeight="1" s="121"/>
    <row r="292" ht="15.75" customHeight="1" s="121"/>
    <row r="293" ht="15.75" customHeight="1" s="121"/>
    <row r="294" ht="15.75" customHeight="1" s="121"/>
    <row r="295" ht="15.75" customHeight="1" s="121"/>
    <row r="296" ht="15.75" customHeight="1" s="121"/>
    <row r="297" ht="15.75" customHeight="1" s="121"/>
    <row r="298" ht="15.75" customHeight="1" s="121"/>
    <row r="299" ht="15.75" customHeight="1" s="121"/>
    <row r="300" ht="15.75" customHeight="1" s="121"/>
    <row r="301" ht="15.75" customHeight="1" s="121"/>
    <row r="302" ht="15.75" customHeight="1" s="121"/>
    <row r="303" ht="15.75" customHeight="1" s="121"/>
    <row r="304" ht="15.75" customHeight="1" s="121"/>
    <row r="305" ht="15.75" customHeight="1" s="121"/>
    <row r="306" ht="15.75" customHeight="1" s="121"/>
    <row r="307" ht="15.75" customHeight="1" s="121"/>
    <row r="308" ht="15.75" customHeight="1" s="121"/>
    <row r="309" ht="15.75" customHeight="1" s="121"/>
    <row r="310" ht="15.75" customHeight="1" s="121"/>
    <row r="311" ht="15.75" customHeight="1" s="121"/>
    <row r="312" ht="15.75" customHeight="1" s="121"/>
    <row r="313" ht="15.75" customHeight="1" s="121"/>
    <row r="314" ht="15.75" customHeight="1" s="121"/>
    <row r="315" ht="15.75" customHeight="1" s="121"/>
    <row r="316" ht="15.75" customHeight="1" s="121"/>
    <row r="317" ht="15.75" customHeight="1" s="121"/>
    <row r="318" ht="15.75" customHeight="1" s="121"/>
    <row r="319" ht="15.75" customHeight="1" s="121"/>
    <row r="320" ht="15.75" customHeight="1" s="121"/>
    <row r="321" ht="15.75" customHeight="1" s="121"/>
    <row r="322" ht="15.75" customHeight="1" s="121"/>
    <row r="323" ht="15.75" customHeight="1" s="121"/>
    <row r="324" ht="15.75" customHeight="1" s="121"/>
    <row r="325" ht="15.75" customHeight="1" s="121"/>
    <row r="326" ht="15.75" customHeight="1" s="121"/>
    <row r="327" ht="15.75" customHeight="1" s="121"/>
    <row r="328" ht="15.75" customHeight="1" s="121"/>
    <row r="329" ht="15.75" customHeight="1" s="121"/>
    <row r="330" ht="15.75" customHeight="1" s="121"/>
    <row r="331" ht="15.75" customHeight="1" s="121"/>
    <row r="332" ht="15.75" customHeight="1" s="121"/>
    <row r="333" ht="15.75" customHeight="1" s="121"/>
    <row r="334" ht="15.75" customHeight="1" s="121"/>
    <row r="335" ht="15.75" customHeight="1" s="121"/>
    <row r="336" ht="15.75" customHeight="1" s="121"/>
    <row r="337" ht="15.75" customHeight="1" s="121"/>
    <row r="338" ht="15.75" customHeight="1" s="121"/>
    <row r="339" ht="15.75" customHeight="1" s="121"/>
    <row r="340" ht="15.75" customHeight="1" s="121"/>
    <row r="341" ht="15.75" customHeight="1" s="121"/>
    <row r="342" ht="15.75" customHeight="1" s="121"/>
    <row r="343" ht="15.75" customHeight="1" s="121"/>
    <row r="344" ht="15.75" customHeight="1" s="121"/>
    <row r="345" ht="15.75" customHeight="1" s="121"/>
    <row r="346" ht="15.75" customHeight="1" s="121"/>
    <row r="347" ht="15.75" customHeight="1" s="121"/>
    <row r="348" ht="15.75" customHeight="1" s="121"/>
    <row r="349" ht="15.75" customHeight="1" s="121"/>
    <row r="350" ht="15.75" customHeight="1" s="121"/>
    <row r="351" ht="15.75" customHeight="1" s="121"/>
    <row r="352" ht="15.75" customHeight="1" s="121"/>
    <row r="353" ht="15.75" customHeight="1" s="121"/>
    <row r="354" ht="15.75" customHeight="1" s="121"/>
    <row r="355" ht="15.75" customHeight="1" s="121"/>
    <row r="356" ht="15.75" customHeight="1" s="121"/>
    <row r="357" ht="15.75" customHeight="1" s="121"/>
    <row r="358" ht="15.75" customHeight="1" s="121"/>
    <row r="359" ht="15.75" customHeight="1" s="121"/>
    <row r="360" ht="15.75" customHeight="1" s="121"/>
    <row r="361" ht="15.75" customHeight="1" s="121"/>
    <row r="362" ht="15.75" customHeight="1" s="121"/>
    <row r="363" ht="15.75" customHeight="1" s="121"/>
    <row r="364" ht="15.75" customHeight="1" s="121"/>
    <row r="365" ht="15.75" customHeight="1" s="121"/>
    <row r="366" ht="15.75" customHeight="1" s="121"/>
    <row r="367" ht="15.75" customHeight="1" s="121"/>
    <row r="368" ht="15.75" customHeight="1" s="121"/>
    <row r="369" ht="15.75" customHeight="1" s="121"/>
    <row r="370" ht="15.75" customHeight="1" s="121"/>
    <row r="371" ht="15.75" customHeight="1" s="121"/>
    <row r="372" ht="15.75" customHeight="1" s="121"/>
    <row r="373" ht="15.75" customHeight="1" s="121"/>
    <row r="374" ht="15.75" customHeight="1" s="121"/>
    <row r="375" ht="15.75" customHeight="1" s="121"/>
    <row r="376" ht="15.75" customHeight="1" s="121"/>
    <row r="377" ht="15.75" customHeight="1" s="121"/>
    <row r="378" ht="15.75" customHeight="1" s="121"/>
    <row r="379" ht="15.75" customHeight="1" s="121"/>
    <row r="380" ht="15.75" customHeight="1" s="121"/>
    <row r="381" ht="15.75" customHeight="1" s="121"/>
    <row r="382" ht="15.75" customHeight="1" s="121"/>
    <row r="383" ht="15.75" customHeight="1" s="121"/>
    <row r="384" ht="15.75" customHeight="1" s="121"/>
    <row r="385" ht="15.75" customHeight="1" s="121"/>
    <row r="386" ht="15.75" customHeight="1" s="121"/>
    <row r="387" ht="15.75" customHeight="1" s="121"/>
    <row r="388" ht="15.75" customHeight="1" s="121"/>
    <row r="389" ht="15.75" customHeight="1" s="121"/>
    <row r="390" ht="15.75" customHeight="1" s="121"/>
    <row r="391" ht="15.75" customHeight="1" s="121"/>
    <row r="392" ht="15.75" customHeight="1" s="121"/>
    <row r="393" ht="15.75" customHeight="1" s="121"/>
    <row r="394" ht="15.75" customHeight="1" s="121"/>
    <row r="395" ht="15.75" customHeight="1" s="121"/>
    <row r="396" ht="15.75" customHeight="1" s="121"/>
    <row r="397" ht="15.75" customHeight="1" s="121"/>
    <row r="398" ht="15.75" customHeight="1" s="121"/>
    <row r="399" ht="15.75" customHeight="1" s="121"/>
    <row r="400" ht="15.75" customHeight="1" s="121"/>
    <row r="401" ht="15.75" customHeight="1" s="121"/>
    <row r="402" ht="15.75" customHeight="1" s="121"/>
    <row r="403" ht="15.75" customHeight="1" s="121"/>
    <row r="404" ht="15.75" customHeight="1" s="121"/>
    <row r="405" ht="15.75" customHeight="1" s="121"/>
    <row r="406" ht="15.75" customHeight="1" s="121"/>
    <row r="407" ht="15.75" customHeight="1" s="121"/>
    <row r="408" ht="15.75" customHeight="1" s="121"/>
    <row r="409" ht="15.75" customHeight="1" s="121"/>
    <row r="410" ht="15.75" customHeight="1" s="121"/>
    <row r="411" ht="15.75" customHeight="1" s="121"/>
    <row r="412" ht="15.75" customHeight="1" s="121"/>
    <row r="413" ht="15.75" customHeight="1" s="121"/>
    <row r="414" ht="15.75" customHeight="1" s="121"/>
    <row r="415" ht="15.75" customHeight="1" s="121"/>
    <row r="416" ht="15.75" customHeight="1" s="121"/>
    <row r="417" ht="15.75" customHeight="1" s="121"/>
    <row r="418" ht="15.75" customHeight="1" s="121"/>
    <row r="419" ht="15.75" customHeight="1" s="121"/>
    <row r="420" ht="15.75" customHeight="1" s="121"/>
    <row r="421" ht="15.75" customHeight="1" s="121"/>
    <row r="422" ht="15.75" customHeight="1" s="121"/>
    <row r="423" ht="15.75" customHeight="1" s="121"/>
    <row r="424" ht="15.75" customHeight="1" s="121"/>
    <row r="425" ht="15.75" customHeight="1" s="121"/>
    <row r="426" ht="15.75" customHeight="1" s="121"/>
    <row r="427" ht="15.75" customHeight="1" s="121"/>
    <row r="428" ht="15.75" customHeight="1" s="121"/>
    <row r="429" ht="15.75" customHeight="1" s="121"/>
    <row r="430" ht="15.75" customHeight="1" s="121"/>
    <row r="431" ht="15.75" customHeight="1" s="121"/>
    <row r="432" ht="15.75" customHeight="1" s="121"/>
    <row r="433" ht="15.75" customHeight="1" s="121"/>
    <row r="434" ht="15.75" customHeight="1" s="121"/>
    <row r="435" ht="15.75" customHeight="1" s="121"/>
    <row r="436" ht="15.75" customHeight="1" s="121"/>
    <row r="437" ht="15.75" customHeight="1" s="121"/>
    <row r="438" ht="15.75" customHeight="1" s="121"/>
    <row r="439" ht="15.75" customHeight="1" s="121"/>
    <row r="440" ht="15.75" customHeight="1" s="121"/>
    <row r="441" ht="15.75" customHeight="1" s="121"/>
    <row r="442" ht="15.75" customHeight="1" s="121"/>
    <row r="443" ht="15.75" customHeight="1" s="121"/>
    <row r="444" ht="15.75" customHeight="1" s="121"/>
    <row r="445" ht="15.75" customHeight="1" s="121"/>
    <row r="446" ht="15.75" customHeight="1" s="121"/>
    <row r="447" ht="15.75" customHeight="1" s="121"/>
    <row r="448" ht="15.75" customHeight="1" s="121"/>
    <row r="449" ht="15.75" customHeight="1" s="121"/>
    <row r="450" ht="15.75" customHeight="1" s="121"/>
    <row r="451" ht="15.75" customHeight="1" s="121"/>
    <row r="452" ht="15.75" customHeight="1" s="121"/>
    <row r="453" ht="15.75" customHeight="1" s="121"/>
    <row r="454" ht="15.75" customHeight="1" s="121"/>
    <row r="455" ht="15.75" customHeight="1" s="121"/>
    <row r="456" ht="15.75" customHeight="1" s="121"/>
    <row r="457" ht="15.75" customHeight="1" s="121"/>
    <row r="458" ht="15.75" customHeight="1" s="121"/>
    <row r="459" ht="15.75" customHeight="1" s="121"/>
    <row r="460" ht="15.75" customHeight="1" s="121"/>
    <row r="461" ht="15.75" customHeight="1" s="121"/>
    <row r="462" ht="15.75" customHeight="1" s="121"/>
    <row r="463" ht="15.75" customHeight="1" s="121"/>
    <row r="464" ht="15.75" customHeight="1" s="121"/>
    <row r="465" ht="15.75" customHeight="1" s="121"/>
    <row r="466" ht="15.75" customHeight="1" s="121"/>
    <row r="467" ht="15.75" customHeight="1" s="121"/>
    <row r="468" ht="15.75" customHeight="1" s="121"/>
    <row r="469" ht="15.75" customHeight="1" s="121"/>
    <row r="470" ht="15.75" customHeight="1" s="121"/>
    <row r="471" ht="15.75" customHeight="1" s="121"/>
    <row r="472" ht="15.75" customHeight="1" s="121"/>
    <row r="473" ht="15.75" customHeight="1" s="121"/>
    <row r="474" ht="15.75" customHeight="1" s="121"/>
    <row r="475" ht="15.75" customHeight="1" s="121"/>
    <row r="476" ht="15.75" customHeight="1" s="121"/>
    <row r="477" ht="15.75" customHeight="1" s="121"/>
    <row r="478" ht="15.75" customHeight="1" s="121"/>
    <row r="479" ht="15.75" customHeight="1" s="121"/>
    <row r="480" ht="15.75" customHeight="1" s="121"/>
    <row r="481" ht="15.75" customHeight="1" s="121"/>
    <row r="482" ht="15.75" customHeight="1" s="121"/>
    <row r="483" ht="15.75" customHeight="1" s="121"/>
    <row r="484" ht="15.75" customHeight="1" s="121"/>
    <row r="485" ht="15.75" customHeight="1" s="121"/>
    <row r="486" ht="15.75" customHeight="1" s="121"/>
    <row r="487" ht="15.75" customHeight="1" s="121"/>
    <row r="488" ht="15.75" customHeight="1" s="121"/>
    <row r="489" ht="15.75" customHeight="1" s="121"/>
    <row r="490" ht="15.75" customHeight="1" s="121"/>
    <row r="491" ht="15.75" customHeight="1" s="121"/>
    <row r="492" ht="15.75" customHeight="1" s="121"/>
    <row r="493" ht="15.75" customHeight="1" s="121"/>
    <row r="494" ht="15.75" customHeight="1" s="121"/>
    <row r="495" ht="15.75" customHeight="1" s="121"/>
    <row r="496" ht="15.75" customHeight="1" s="121"/>
    <row r="497" ht="15.75" customHeight="1" s="121"/>
    <row r="498" ht="15.75" customHeight="1" s="121"/>
    <row r="499" ht="15.75" customHeight="1" s="121"/>
    <row r="500" ht="15.75" customHeight="1" s="121"/>
    <row r="501" ht="15.75" customHeight="1" s="121"/>
    <row r="502" ht="15.75" customHeight="1" s="121"/>
    <row r="503" ht="15.75" customHeight="1" s="121"/>
    <row r="504" ht="15.75" customHeight="1" s="121"/>
    <row r="505" ht="15.75" customHeight="1" s="121"/>
    <row r="506" ht="15.75" customHeight="1" s="121"/>
    <row r="507" ht="15.75" customHeight="1" s="121"/>
    <row r="508" ht="15.75" customHeight="1" s="121"/>
    <row r="509" ht="15.75" customHeight="1" s="121"/>
    <row r="510" ht="15.75" customHeight="1" s="121"/>
    <row r="511" ht="15.75" customHeight="1" s="121"/>
    <row r="512" ht="15.75" customHeight="1" s="121"/>
    <row r="513" ht="15.75" customHeight="1" s="121"/>
    <row r="514" ht="15.75" customHeight="1" s="121"/>
    <row r="515" ht="15.75" customHeight="1" s="121"/>
    <row r="516" ht="15.75" customHeight="1" s="121"/>
    <row r="517" ht="15.75" customHeight="1" s="121"/>
    <row r="518" ht="15.75" customHeight="1" s="121"/>
    <row r="519" ht="15.75" customHeight="1" s="121"/>
    <row r="520" ht="15.75" customHeight="1" s="121"/>
    <row r="521" ht="15.75" customHeight="1" s="121"/>
    <row r="522" ht="15.75" customHeight="1" s="121"/>
    <row r="523" ht="15.75" customHeight="1" s="121"/>
    <row r="524" ht="15.75" customHeight="1" s="121"/>
    <row r="525" ht="15.75" customHeight="1" s="121"/>
    <row r="526" ht="15.75" customHeight="1" s="121"/>
    <row r="527" ht="15.75" customHeight="1" s="121"/>
    <row r="528" ht="15.75" customHeight="1" s="121"/>
    <row r="529" ht="15.75" customHeight="1" s="121"/>
    <row r="530" ht="15.75" customHeight="1" s="121"/>
    <row r="531" ht="15.75" customHeight="1" s="121"/>
    <row r="532" ht="15.75" customHeight="1" s="121"/>
    <row r="533" ht="15.75" customHeight="1" s="121"/>
    <row r="534" ht="15.75" customHeight="1" s="121"/>
    <row r="535" ht="15.75" customHeight="1" s="121"/>
    <row r="536" ht="15.75" customHeight="1" s="121"/>
    <row r="537" ht="15.75" customHeight="1" s="121"/>
    <row r="538" ht="15.75" customHeight="1" s="121"/>
    <row r="539" ht="15.75" customHeight="1" s="121"/>
    <row r="540" ht="15.75" customHeight="1" s="121"/>
    <row r="541" ht="15.75" customHeight="1" s="121"/>
    <row r="542" ht="15.75" customHeight="1" s="121"/>
    <row r="543" ht="15.75" customHeight="1" s="121"/>
    <row r="544" ht="15.75" customHeight="1" s="121"/>
    <row r="545" ht="15.75" customHeight="1" s="121"/>
    <row r="546" ht="15.75" customHeight="1" s="121"/>
    <row r="547" ht="15.75" customHeight="1" s="121"/>
    <row r="548" ht="15.75" customHeight="1" s="121"/>
    <row r="549" ht="15.75" customHeight="1" s="121"/>
    <row r="550" ht="15.75" customHeight="1" s="121"/>
    <row r="551" ht="15.75" customHeight="1" s="121"/>
    <row r="552" ht="15.75" customHeight="1" s="121"/>
    <row r="553" ht="15.75" customHeight="1" s="121"/>
    <row r="554" ht="15.75" customHeight="1" s="121"/>
    <row r="555" ht="15.75" customHeight="1" s="121"/>
    <row r="556" ht="15.75" customHeight="1" s="121"/>
    <row r="557" ht="15.75" customHeight="1" s="121"/>
    <row r="558" ht="15.75" customHeight="1" s="121"/>
    <row r="559" ht="15.75" customHeight="1" s="121"/>
    <row r="560" ht="15.75" customHeight="1" s="121"/>
    <row r="561" ht="15.75" customHeight="1" s="121"/>
    <row r="562" ht="15.75" customHeight="1" s="121"/>
    <row r="563" ht="15.75" customHeight="1" s="121"/>
    <row r="564" ht="15.75" customHeight="1" s="121"/>
    <row r="565" ht="15.75" customHeight="1" s="121"/>
    <row r="566" ht="15.75" customHeight="1" s="121"/>
    <row r="567" ht="15.75" customHeight="1" s="121"/>
    <row r="568" ht="15.75" customHeight="1" s="121"/>
    <row r="569" ht="15.75" customHeight="1" s="121"/>
    <row r="570" ht="15.75" customHeight="1" s="121"/>
    <row r="571" ht="15.75" customHeight="1" s="121"/>
    <row r="572" ht="15.75" customHeight="1" s="121"/>
    <row r="573" ht="15.75" customHeight="1" s="121"/>
    <row r="574" ht="15.75" customHeight="1" s="121"/>
    <row r="575" ht="15.75" customHeight="1" s="121"/>
    <row r="576" ht="15.75" customHeight="1" s="121"/>
    <row r="577" ht="15.75" customHeight="1" s="121"/>
    <row r="578" ht="15.75" customHeight="1" s="121"/>
    <row r="579" ht="15.75" customHeight="1" s="121"/>
    <row r="580" ht="15.75" customHeight="1" s="121"/>
    <row r="581" ht="15.75" customHeight="1" s="121"/>
    <row r="582" ht="15.75" customHeight="1" s="121"/>
    <row r="583" ht="15.75" customHeight="1" s="121"/>
    <row r="584" ht="15.75" customHeight="1" s="121"/>
    <row r="585" ht="15.75" customHeight="1" s="121"/>
    <row r="586" ht="15.75" customHeight="1" s="121"/>
    <row r="587" ht="15.75" customHeight="1" s="121"/>
    <row r="588" ht="15.75" customHeight="1" s="121"/>
    <row r="589" ht="15.75" customHeight="1" s="121"/>
    <row r="590" ht="15.75" customHeight="1" s="121"/>
    <row r="591" ht="15.75" customHeight="1" s="121"/>
    <row r="592" ht="15.75" customHeight="1" s="121"/>
    <row r="593" ht="15.75" customHeight="1" s="121"/>
    <row r="594" ht="15.75" customHeight="1" s="121"/>
    <row r="595" ht="15.75" customHeight="1" s="121"/>
    <row r="596" ht="15.75" customHeight="1" s="121"/>
    <row r="597" ht="15.75" customHeight="1" s="121"/>
    <row r="598" ht="15.75" customHeight="1" s="121"/>
    <row r="599" ht="15.75" customHeight="1" s="121"/>
    <row r="600" ht="15.75" customHeight="1" s="121"/>
    <row r="601" ht="15.75" customHeight="1" s="121"/>
    <row r="602" ht="15.75" customHeight="1" s="121"/>
    <row r="603" ht="15.75" customHeight="1" s="121"/>
    <row r="604" ht="15.75" customHeight="1" s="121"/>
    <row r="605" ht="15.75" customHeight="1" s="121"/>
    <row r="606" ht="15.75" customHeight="1" s="121"/>
    <row r="607" ht="15.75" customHeight="1" s="121"/>
    <row r="608" ht="15.75" customHeight="1" s="121"/>
    <row r="609" ht="15.75" customHeight="1" s="121"/>
    <row r="610" ht="15.75" customHeight="1" s="121"/>
    <row r="611" ht="15.75" customHeight="1" s="121"/>
    <row r="612" ht="15.75" customHeight="1" s="121"/>
    <row r="613" ht="15.75" customHeight="1" s="121"/>
    <row r="614" ht="15.75" customHeight="1" s="121"/>
    <row r="615" ht="15.75" customHeight="1" s="121"/>
    <row r="616" ht="15.75" customHeight="1" s="121"/>
    <row r="617" ht="15.75" customHeight="1" s="121"/>
    <row r="618" ht="15.75" customHeight="1" s="121"/>
    <row r="619" ht="15.75" customHeight="1" s="121"/>
    <row r="620" ht="15.75" customHeight="1" s="121"/>
    <row r="621" ht="15.75" customHeight="1" s="121"/>
    <row r="622" ht="15.75" customHeight="1" s="121"/>
    <row r="623" ht="15.75" customHeight="1" s="121"/>
    <row r="624" ht="15.75" customHeight="1" s="121"/>
    <row r="625" ht="15.75" customHeight="1" s="121"/>
    <row r="626" ht="15.75" customHeight="1" s="121"/>
    <row r="627" ht="15.75" customHeight="1" s="121"/>
    <row r="628" ht="15.75" customHeight="1" s="121"/>
    <row r="629" ht="15.75" customHeight="1" s="121"/>
    <row r="630" ht="15.75" customHeight="1" s="121"/>
    <row r="631" ht="15.75" customHeight="1" s="121"/>
    <row r="632" ht="15.75" customHeight="1" s="121"/>
    <row r="633" ht="15.75" customHeight="1" s="121"/>
    <row r="634" ht="15.75" customHeight="1" s="121"/>
    <row r="635" ht="15.75" customHeight="1" s="121"/>
    <row r="636" ht="15.75" customHeight="1" s="121"/>
    <row r="637" ht="15.75" customHeight="1" s="121"/>
    <row r="638" ht="15.75" customHeight="1" s="121"/>
    <row r="639" ht="15.75" customHeight="1" s="121"/>
    <row r="640" ht="15.75" customHeight="1" s="121"/>
    <row r="641" ht="15.75" customHeight="1" s="121"/>
    <row r="642" ht="15.75" customHeight="1" s="121"/>
    <row r="643" ht="15.75" customHeight="1" s="121"/>
    <row r="644" ht="15.75" customHeight="1" s="121"/>
    <row r="645" ht="15.75" customHeight="1" s="121"/>
    <row r="646" ht="15.75" customHeight="1" s="121"/>
    <row r="647" ht="15.75" customHeight="1" s="121"/>
    <row r="648" ht="15.75" customHeight="1" s="121"/>
    <row r="649" ht="15.75" customHeight="1" s="121"/>
    <row r="650" ht="15.75" customHeight="1" s="121"/>
    <row r="651" ht="15.75" customHeight="1" s="121"/>
    <row r="652" ht="15.75" customHeight="1" s="121"/>
    <row r="653" ht="15.75" customHeight="1" s="121"/>
    <row r="654" ht="15.75" customHeight="1" s="121"/>
    <row r="655" ht="15.75" customHeight="1" s="121"/>
    <row r="656" ht="15.75" customHeight="1" s="121"/>
    <row r="657" ht="15.75" customHeight="1" s="121"/>
    <row r="658" ht="15.75" customHeight="1" s="121"/>
    <row r="659" ht="15.75" customHeight="1" s="121"/>
    <row r="660" ht="15.75" customHeight="1" s="121"/>
    <row r="661" ht="15.75" customHeight="1" s="121"/>
    <row r="662" ht="15.75" customHeight="1" s="121"/>
    <row r="663" ht="15.75" customHeight="1" s="121"/>
    <row r="664" ht="15.75" customHeight="1" s="121"/>
    <row r="665" ht="15.75" customHeight="1" s="121"/>
    <row r="666" ht="15.75" customHeight="1" s="121"/>
    <row r="667" ht="15.75" customHeight="1" s="121"/>
    <row r="668" ht="15.75" customHeight="1" s="121"/>
    <row r="669" ht="15.75" customHeight="1" s="121"/>
    <row r="670" ht="15.75" customHeight="1" s="121"/>
    <row r="671" ht="15.75" customHeight="1" s="121"/>
    <row r="672" ht="15.75" customHeight="1" s="121"/>
    <row r="673" ht="15.75" customHeight="1" s="121"/>
    <row r="674" ht="15.75" customHeight="1" s="121"/>
    <row r="675" ht="15.75" customHeight="1" s="121"/>
    <row r="676" ht="15.75" customHeight="1" s="121"/>
    <row r="677" ht="15.75" customHeight="1" s="121"/>
    <row r="678" ht="15.75" customHeight="1" s="121"/>
    <row r="679" ht="15.75" customHeight="1" s="121"/>
    <row r="680" ht="15.75" customHeight="1" s="121"/>
    <row r="681" ht="15.75" customHeight="1" s="121"/>
    <row r="682" ht="15.75" customHeight="1" s="121"/>
    <row r="683" ht="15.75" customHeight="1" s="121"/>
    <row r="684" ht="15.75" customHeight="1" s="121"/>
    <row r="685" ht="15.75" customHeight="1" s="121"/>
    <row r="686" ht="15.75" customHeight="1" s="121"/>
    <row r="687" ht="15.75" customHeight="1" s="121"/>
    <row r="688" ht="15.75" customHeight="1" s="121"/>
    <row r="689" ht="15.75" customHeight="1" s="121"/>
    <row r="690" ht="15.75" customHeight="1" s="121"/>
    <row r="691" ht="15.75" customHeight="1" s="121"/>
    <row r="692" ht="15.75" customHeight="1" s="121"/>
    <row r="693" ht="15.75" customHeight="1" s="121"/>
    <row r="694" ht="15.75" customHeight="1" s="121"/>
    <row r="695" ht="15.75" customHeight="1" s="121"/>
    <row r="696" ht="15.75" customHeight="1" s="121"/>
    <row r="697" ht="15.75" customHeight="1" s="121"/>
    <row r="698" ht="15.75" customHeight="1" s="121"/>
    <row r="699" ht="15.75" customHeight="1" s="121"/>
    <row r="700" ht="15.75" customHeight="1" s="121"/>
    <row r="701" ht="15.75" customHeight="1" s="121"/>
    <row r="702" ht="15.75" customHeight="1" s="121"/>
    <row r="703" ht="15.75" customHeight="1" s="121"/>
    <row r="704" ht="15.75" customHeight="1" s="121"/>
    <row r="705" ht="15.75" customHeight="1" s="121"/>
    <row r="706" ht="15.75" customHeight="1" s="121"/>
    <row r="707" ht="15.75" customHeight="1" s="121"/>
    <row r="708" ht="15.75" customHeight="1" s="121"/>
    <row r="709" ht="15.75" customHeight="1" s="121"/>
    <row r="710" ht="15.75" customHeight="1" s="121"/>
    <row r="711" ht="15.75" customHeight="1" s="121"/>
    <row r="712" ht="15.75" customHeight="1" s="121"/>
    <row r="713" ht="15.75" customHeight="1" s="121"/>
    <row r="714" ht="15.75" customHeight="1" s="121"/>
    <row r="715" ht="15.75" customHeight="1" s="121"/>
    <row r="716" ht="15.75" customHeight="1" s="121"/>
    <row r="717" ht="15.75" customHeight="1" s="121"/>
    <row r="718" ht="15.75" customHeight="1" s="121"/>
    <row r="719" ht="15.75" customHeight="1" s="121"/>
    <row r="720" ht="15.75" customHeight="1" s="121"/>
    <row r="721" ht="15.75" customHeight="1" s="121"/>
    <row r="722" ht="15.75" customHeight="1" s="121"/>
    <row r="723" ht="15.75" customHeight="1" s="121"/>
    <row r="724" ht="15.75" customHeight="1" s="121"/>
    <row r="725" ht="15.75" customHeight="1" s="121"/>
    <row r="726" ht="15.75" customHeight="1" s="121"/>
    <row r="727" ht="15.75" customHeight="1" s="121"/>
    <row r="728" ht="15.75" customHeight="1" s="121"/>
    <row r="729" ht="15.75" customHeight="1" s="121"/>
    <row r="730" ht="15.75" customHeight="1" s="121"/>
    <row r="731" ht="15.75" customHeight="1" s="121"/>
    <row r="732" ht="15.75" customHeight="1" s="121"/>
    <row r="733" ht="15.75" customHeight="1" s="121"/>
    <row r="734" ht="15.75" customHeight="1" s="121"/>
    <row r="735" ht="15.75" customHeight="1" s="121"/>
    <row r="736" ht="15.75" customHeight="1" s="121"/>
    <row r="737" ht="15.75" customHeight="1" s="121"/>
    <row r="738" ht="15.75" customHeight="1" s="121"/>
    <row r="739" ht="15.75" customHeight="1" s="121"/>
    <row r="740" ht="15.75" customHeight="1" s="121"/>
    <row r="741" ht="15.75" customHeight="1" s="121"/>
    <row r="742" ht="15.75" customHeight="1" s="121"/>
    <row r="743" ht="15.75" customHeight="1" s="121"/>
    <row r="744" ht="15.75" customHeight="1" s="121"/>
    <row r="745" ht="15.75" customHeight="1" s="121"/>
    <row r="746" ht="15.75" customHeight="1" s="121"/>
    <row r="747" ht="15.75" customHeight="1" s="121"/>
    <row r="748" ht="15.75" customHeight="1" s="121"/>
    <row r="749" ht="15.75" customHeight="1" s="121"/>
    <row r="750" ht="15.75" customHeight="1" s="121"/>
    <row r="751" ht="15.75" customHeight="1" s="121"/>
    <row r="752" ht="15.75" customHeight="1" s="121"/>
    <row r="753" ht="15.75" customHeight="1" s="121"/>
    <row r="754" ht="15.75" customHeight="1" s="121"/>
    <row r="755" ht="15.75" customHeight="1" s="121"/>
    <row r="756" ht="15.75" customHeight="1" s="121"/>
    <row r="757" ht="15.75" customHeight="1" s="121"/>
    <row r="758" ht="15.75" customHeight="1" s="121"/>
    <row r="759" ht="15.75" customHeight="1" s="121"/>
    <row r="760" ht="15.75" customHeight="1" s="121"/>
    <row r="761" ht="15.75" customHeight="1" s="121"/>
    <row r="762" ht="15.75" customHeight="1" s="121"/>
    <row r="763" ht="15.75" customHeight="1" s="121"/>
    <row r="764" ht="15.75" customHeight="1" s="121"/>
    <row r="765" ht="15.75" customHeight="1" s="121"/>
    <row r="766" ht="15.75" customHeight="1" s="121"/>
    <row r="767" ht="15.75" customHeight="1" s="121"/>
    <row r="768" ht="15.75" customHeight="1" s="121"/>
    <row r="769" ht="15.75" customHeight="1" s="121"/>
    <row r="770" ht="15.75" customHeight="1" s="121"/>
    <row r="771" ht="15.75" customHeight="1" s="121"/>
    <row r="772" ht="15.75" customHeight="1" s="121"/>
    <row r="773" ht="15.75" customHeight="1" s="121"/>
    <row r="774" ht="15.75" customHeight="1" s="121"/>
    <row r="775" ht="15.75" customHeight="1" s="121"/>
    <row r="776" ht="15.75" customHeight="1" s="121"/>
    <row r="777" ht="15.75" customHeight="1" s="121"/>
    <row r="778" ht="15.75" customHeight="1" s="121"/>
    <row r="779" ht="15.75" customHeight="1" s="121"/>
    <row r="780" ht="15.75" customHeight="1" s="121"/>
    <row r="781" ht="15.75" customHeight="1" s="121"/>
    <row r="782" ht="15.75" customHeight="1" s="121"/>
    <row r="783" ht="15.75" customHeight="1" s="121"/>
    <row r="784" ht="15.75" customHeight="1" s="121"/>
    <row r="785" ht="15.75" customHeight="1" s="121"/>
    <row r="786" ht="15.75" customHeight="1" s="121"/>
    <row r="787" ht="15.75" customHeight="1" s="121"/>
    <row r="788" ht="15.75" customHeight="1" s="121"/>
    <row r="789" ht="15.75" customHeight="1" s="121"/>
    <row r="790" ht="15.75" customHeight="1" s="121"/>
    <row r="791" ht="15.75" customHeight="1" s="121"/>
    <row r="792" ht="15.75" customHeight="1" s="121"/>
    <row r="793" ht="15.75" customHeight="1" s="121"/>
    <row r="794" ht="15.75" customHeight="1" s="121"/>
    <row r="795" ht="15.75" customHeight="1" s="121"/>
    <row r="796" ht="15.75" customHeight="1" s="121"/>
    <row r="797" ht="15.75" customHeight="1" s="121"/>
    <row r="798" ht="15.75" customHeight="1" s="121"/>
    <row r="799" ht="15.75" customHeight="1" s="121"/>
    <row r="800" ht="15.75" customHeight="1" s="121"/>
    <row r="801" ht="15.75" customHeight="1" s="121"/>
    <row r="802" ht="15.75" customHeight="1" s="121"/>
    <row r="803" ht="15.75" customHeight="1" s="121"/>
    <row r="804" ht="15.75" customHeight="1" s="121"/>
    <row r="805" ht="15.75" customHeight="1" s="121"/>
    <row r="806" ht="15.75" customHeight="1" s="121"/>
    <row r="807" ht="15.75" customHeight="1" s="121"/>
    <row r="808" ht="15.75" customHeight="1" s="121"/>
    <row r="809" ht="15.75" customHeight="1" s="121"/>
    <row r="810" ht="15.75" customHeight="1" s="121"/>
    <row r="811" ht="15.75" customHeight="1" s="121"/>
    <row r="812" ht="15.75" customHeight="1" s="121"/>
    <row r="813" ht="15.75" customHeight="1" s="121"/>
    <row r="814" ht="15.75" customHeight="1" s="121"/>
    <row r="815" ht="15.75" customHeight="1" s="121"/>
    <row r="816" ht="15.75" customHeight="1" s="121"/>
    <row r="817" ht="15.75" customHeight="1" s="121"/>
    <row r="818" ht="15.75" customHeight="1" s="121"/>
    <row r="819" ht="15.75" customHeight="1" s="121"/>
    <row r="820" ht="15.75" customHeight="1" s="121"/>
    <row r="821" ht="15.75" customHeight="1" s="121"/>
    <row r="822" ht="15.75" customHeight="1" s="121"/>
    <row r="823" ht="15.75" customHeight="1" s="121"/>
    <row r="824" ht="15.75" customHeight="1" s="121"/>
    <row r="825" ht="15.75" customHeight="1" s="121"/>
    <row r="826" ht="15.75" customHeight="1" s="121"/>
    <row r="827" ht="15.75" customHeight="1" s="121"/>
    <row r="828" ht="15.75" customHeight="1" s="121"/>
    <row r="829" ht="15.75" customHeight="1" s="121"/>
    <row r="830" ht="15.75" customHeight="1" s="121"/>
    <row r="831" ht="15.75" customHeight="1" s="121"/>
    <row r="832" ht="15.75" customHeight="1" s="121"/>
    <row r="833" ht="15.75" customHeight="1" s="121"/>
    <row r="834" ht="15.75" customHeight="1" s="121"/>
    <row r="835" ht="15.75" customHeight="1" s="121"/>
    <row r="836" ht="15.75" customHeight="1" s="121"/>
    <row r="837" ht="15.75" customHeight="1" s="121"/>
    <row r="838" ht="15.75" customHeight="1" s="121"/>
    <row r="839" ht="15.75" customHeight="1" s="121"/>
    <row r="840" ht="15.75" customHeight="1" s="121"/>
    <row r="841" ht="15.75" customHeight="1" s="121"/>
    <row r="842" ht="15.75" customHeight="1" s="121"/>
    <row r="843" ht="15.75" customHeight="1" s="121"/>
    <row r="844" ht="15.75" customHeight="1" s="121"/>
    <row r="845" ht="15.75" customHeight="1" s="121"/>
    <row r="846" ht="15.75" customHeight="1" s="121"/>
    <row r="847" ht="15.75" customHeight="1" s="121"/>
    <row r="848" ht="15.75" customHeight="1" s="121"/>
    <row r="849" ht="15.75" customHeight="1" s="121"/>
    <row r="850" ht="15.75" customHeight="1" s="121"/>
    <row r="851" ht="15.75" customHeight="1" s="121"/>
    <row r="852" ht="15.75" customHeight="1" s="121"/>
    <row r="853" ht="15.75" customHeight="1" s="121"/>
    <row r="854" ht="15.75" customHeight="1" s="121"/>
    <row r="855" ht="15.75" customHeight="1" s="121"/>
    <row r="856" ht="15.75" customHeight="1" s="121"/>
    <row r="857" ht="15.75" customHeight="1" s="121"/>
    <row r="858" ht="15.75" customHeight="1" s="121"/>
    <row r="859" ht="15.75" customHeight="1" s="121"/>
    <row r="860" ht="15.75" customHeight="1" s="121"/>
    <row r="861" ht="15.75" customHeight="1" s="121"/>
    <row r="862" ht="15.75" customHeight="1" s="121"/>
    <row r="863" ht="15.75" customHeight="1" s="121"/>
    <row r="864" ht="15.75" customHeight="1" s="121"/>
    <row r="865" ht="15.75" customHeight="1" s="121"/>
    <row r="866" ht="15.75" customHeight="1" s="121"/>
    <row r="867" ht="15.75" customHeight="1" s="121"/>
    <row r="868" ht="15.75" customHeight="1" s="121"/>
    <row r="869" ht="15.75" customHeight="1" s="121"/>
    <row r="870" ht="15.75" customHeight="1" s="121"/>
    <row r="871" ht="15.75" customHeight="1" s="121"/>
    <row r="872" ht="15.75" customHeight="1" s="121"/>
    <row r="873" ht="15.75" customHeight="1" s="121"/>
    <row r="874" ht="15.75" customHeight="1" s="121"/>
    <row r="875" ht="15.75" customHeight="1" s="121"/>
    <row r="876" ht="15.75" customHeight="1" s="121"/>
    <row r="877" ht="15.75" customHeight="1" s="121"/>
    <row r="878" ht="15.75" customHeight="1" s="121"/>
    <row r="879" ht="15.75" customHeight="1" s="121"/>
    <row r="880" ht="15.75" customHeight="1" s="121"/>
    <row r="881" ht="15.75" customHeight="1" s="121"/>
    <row r="882" ht="15.75" customHeight="1" s="121"/>
    <row r="883" ht="15.75" customHeight="1" s="121"/>
    <row r="884" ht="15.75" customHeight="1" s="121"/>
    <row r="885" ht="15.75" customHeight="1" s="121"/>
    <row r="886" ht="15.75" customHeight="1" s="121"/>
    <row r="887" ht="15.75" customHeight="1" s="121"/>
    <row r="888" ht="15.75" customHeight="1" s="121"/>
    <row r="889" ht="15.75" customHeight="1" s="121"/>
    <row r="890" ht="15.75" customHeight="1" s="121"/>
    <row r="891" ht="15.75" customHeight="1" s="121"/>
    <row r="892" ht="15.75" customHeight="1" s="121"/>
    <row r="893" ht="15.75" customHeight="1" s="121"/>
    <row r="894" ht="15.75" customHeight="1" s="121"/>
    <row r="895" ht="15.75" customHeight="1" s="121"/>
    <row r="896" ht="15.75" customHeight="1" s="121"/>
    <row r="897" ht="15.75" customHeight="1" s="121"/>
    <row r="898" ht="15.75" customHeight="1" s="121"/>
    <row r="899" ht="15.75" customHeight="1" s="121"/>
    <row r="900" ht="15.75" customHeight="1" s="121"/>
    <row r="901" ht="15.75" customHeight="1" s="121"/>
    <row r="902" ht="15.75" customHeight="1" s="121"/>
    <row r="903" ht="15.75" customHeight="1" s="121"/>
    <row r="904" ht="15.75" customHeight="1" s="121"/>
    <row r="905" ht="15.75" customHeight="1" s="121"/>
    <row r="906" ht="15.75" customHeight="1" s="121"/>
    <row r="907" ht="15.75" customHeight="1" s="121"/>
    <row r="908" ht="15.75" customHeight="1" s="121"/>
    <row r="909" ht="15.75" customHeight="1" s="121"/>
    <row r="910" ht="15.75" customHeight="1" s="121"/>
    <row r="911" ht="15.75" customHeight="1" s="121"/>
    <row r="912" ht="15.75" customHeight="1" s="121"/>
    <row r="913" ht="15.75" customHeight="1" s="121"/>
    <row r="914" ht="15.75" customHeight="1" s="121"/>
    <row r="915" ht="15.75" customHeight="1" s="121"/>
    <row r="916" ht="15.75" customHeight="1" s="121"/>
    <row r="917" ht="15.75" customHeight="1" s="121"/>
    <row r="918" ht="15.75" customHeight="1" s="121"/>
    <row r="919" ht="15.75" customHeight="1" s="121"/>
    <row r="920" ht="15.75" customHeight="1" s="121"/>
    <row r="921" ht="15.75" customHeight="1" s="121"/>
    <row r="922" ht="15.75" customHeight="1" s="121"/>
    <row r="923" ht="15.75" customHeight="1" s="121"/>
    <row r="924" ht="15.75" customHeight="1" s="121"/>
    <row r="925" ht="15.75" customHeight="1" s="121"/>
    <row r="926" ht="15.75" customHeight="1" s="121"/>
    <row r="927" ht="15.75" customHeight="1" s="121"/>
    <row r="928" ht="15.75" customHeight="1" s="121"/>
    <row r="929" ht="15.75" customHeight="1" s="121"/>
    <row r="930" ht="15.75" customHeight="1" s="121"/>
    <row r="931" ht="15.75" customHeight="1" s="121"/>
    <row r="932" ht="15.75" customHeight="1" s="121"/>
    <row r="933" ht="15.75" customHeight="1" s="121"/>
    <row r="934" ht="15.75" customHeight="1" s="121"/>
    <row r="935" ht="15.75" customHeight="1" s="121"/>
    <row r="936" ht="15.75" customHeight="1" s="121"/>
    <row r="937" ht="15.75" customHeight="1" s="121"/>
    <row r="938" ht="15.75" customHeight="1" s="121"/>
    <row r="939" ht="15.75" customHeight="1" s="121"/>
    <row r="940" ht="15.75" customHeight="1" s="121"/>
    <row r="941" ht="15.75" customHeight="1" s="121"/>
    <row r="942" ht="15.75" customHeight="1" s="121"/>
    <row r="943" ht="15.75" customHeight="1" s="121"/>
    <row r="944" ht="15.75" customHeight="1" s="121"/>
    <row r="945" ht="15.75" customHeight="1" s="121"/>
    <row r="946" ht="15.75" customHeight="1" s="121"/>
    <row r="947" ht="15.75" customHeight="1" s="121"/>
    <row r="948" ht="15.75" customHeight="1" s="121"/>
    <row r="949" ht="15.75" customHeight="1" s="121"/>
    <row r="950" ht="15.75" customHeight="1" s="121"/>
    <row r="951" ht="15.75" customHeight="1" s="121"/>
    <row r="952" ht="15.75" customHeight="1" s="121"/>
    <row r="953" ht="15.75" customHeight="1" s="121"/>
    <row r="954" ht="15.75" customHeight="1" s="121"/>
    <row r="955" ht="15.75" customHeight="1" s="121"/>
    <row r="956" ht="15.75" customHeight="1" s="121"/>
    <row r="957" ht="15.75" customHeight="1" s="121"/>
    <row r="958" ht="15.75" customHeight="1" s="121"/>
    <row r="959" ht="15.75" customHeight="1" s="121"/>
    <row r="960" ht="15.75" customHeight="1" s="121"/>
    <row r="961" ht="15.75" customHeight="1" s="121"/>
    <row r="962" ht="15.75" customHeight="1" s="121"/>
    <row r="963" ht="15.75" customHeight="1" s="121"/>
    <row r="964" ht="15.75" customHeight="1" s="121"/>
    <row r="965" ht="15.75" customHeight="1" s="121"/>
    <row r="966" ht="15.75" customHeight="1" s="121"/>
    <row r="967" ht="15.75" customHeight="1" s="121"/>
    <row r="968" ht="15.75" customHeight="1" s="121"/>
    <row r="969" ht="15.75" customHeight="1" s="121"/>
    <row r="970" ht="15.75" customHeight="1" s="121"/>
    <row r="971" ht="15.75" customHeight="1" s="121"/>
    <row r="972" ht="15.75" customHeight="1" s="121"/>
    <row r="973" ht="15.75" customHeight="1" s="121"/>
    <row r="974" ht="15.75" customHeight="1" s="121"/>
    <row r="975" ht="15.75" customHeight="1" s="121"/>
    <row r="976" ht="15.75" customHeight="1" s="121"/>
    <row r="977" ht="15.75" customHeight="1" s="121"/>
    <row r="978" ht="15.75" customHeight="1" s="121"/>
    <row r="979" ht="15.75" customHeight="1" s="121"/>
    <row r="980" ht="15.75" customHeight="1" s="121"/>
    <row r="981" ht="15.75" customHeight="1" s="121"/>
    <row r="982" ht="15.75" customHeight="1" s="121"/>
    <row r="983" ht="15.75" customHeight="1" s="121"/>
    <row r="984" ht="15.75" customHeight="1" s="121"/>
    <row r="985" ht="15.75" customHeight="1" s="121"/>
    <row r="986" ht="15.75" customHeight="1" s="121"/>
    <row r="987" ht="15.75" customHeight="1" s="121"/>
    <row r="988" ht="15.75" customHeight="1" s="121"/>
    <row r="989" ht="15.75" customHeight="1" s="121"/>
    <row r="990" ht="15.75" customHeight="1" s="121"/>
    <row r="991" ht="15.75" customHeight="1" s="121"/>
    <row r="992" ht="15.75" customHeight="1" s="121"/>
    <row r="993" ht="15.75" customHeight="1" s="121"/>
    <row r="994" ht="15.75" customHeight="1" s="121"/>
    <row r="995" ht="15.75" customHeight="1" s="121"/>
    <row r="996" ht="15.75" customHeight="1" s="121"/>
    <row r="997" ht="15.75" customHeight="1" s="121"/>
    <row r="998" ht="15.75" customHeight="1" s="121"/>
    <row r="999" ht="15.75" customHeight="1" s="121"/>
    <row r="1000" ht="15.75" customHeight="1" s="121"/>
    <row r="1001" ht="15.75" customHeight="1" s="121"/>
    <row r="1002" ht="15.75" customHeight="1" s="121"/>
    <row r="1003" ht="15.75" customHeight="1" s="121"/>
    <row r="1004" ht="15.75" customHeight="1" s="121"/>
    <row r="1005" ht="15.75" customHeight="1" s="121"/>
    <row r="1006" ht="15.75" customHeight="1" s="121"/>
    <row r="1007" ht="15.75" customHeight="1" s="121"/>
    <row r="1008" ht="15.75" customHeight="1" s="121"/>
    <row r="1009" ht="15.75" customHeight="1" s="121"/>
    <row r="1010" ht="15.75" customHeight="1" s="121"/>
    <row r="1011" ht="15.75" customHeight="1" s="121"/>
    <row r="1012" ht="15.75" customHeight="1" s="121"/>
    <row r="1013" ht="15.75" customHeight="1" s="121"/>
    <row r="1014" ht="15.75" customHeight="1" s="121"/>
    <row r="1015" ht="15.75" customHeight="1" s="121"/>
    <row r="1016" ht="15.75" customHeight="1" s="121"/>
    <row r="1017" ht="15.75" customHeight="1" s="121"/>
    <row r="1018" ht="15.75" customHeight="1" s="121"/>
    <row r="1019" ht="15.75" customHeight="1" s="121"/>
    <row r="1020" ht="15.75" customHeight="1" s="121"/>
    <row r="1021" ht="15.75" customHeight="1" s="121"/>
    <row r="1022" ht="15.75" customHeight="1" s="121"/>
    <row r="1023" ht="15.75" customHeight="1" s="121"/>
    <row r="1024" ht="15.75" customHeight="1" s="121"/>
  </sheetData>
  <autoFilter ref="A1:O63">
    <sortState ref="A2:O63">
      <sortCondition ref="K1:K63"/>
    </sortState>
  </autoFilter>
  <mergeCells count="32">
    <mergeCell ref="B149:B170"/>
    <mergeCell ref="C171:C177"/>
    <mergeCell ref="D146:D148"/>
    <mergeCell ref="D158:D170"/>
    <mergeCell ref="C114:C129"/>
    <mergeCell ref="D149:D150"/>
    <mergeCell ref="C108:C113"/>
    <mergeCell ref="C178:C180"/>
    <mergeCell ref="A108:A184"/>
    <mergeCell ref="C144:C148"/>
    <mergeCell ref="B171:B177"/>
    <mergeCell ref="B114:B129"/>
    <mergeCell ref="D126:D129"/>
    <mergeCell ref="D130:D131"/>
    <mergeCell ref="B181:B184"/>
    <mergeCell ref="D132:D138"/>
    <mergeCell ref="D122:D125"/>
    <mergeCell ref="D156:D157"/>
    <mergeCell ref="B144:B148"/>
    <mergeCell ref="C149:C170"/>
    <mergeCell ref="D171:D176"/>
    <mergeCell ref="D116:D121"/>
    <mergeCell ref="D108:D110"/>
    <mergeCell ref="B130:B143"/>
    <mergeCell ref="C181:C184"/>
    <mergeCell ref="D114:D115"/>
    <mergeCell ref="D139:D143"/>
    <mergeCell ref="B108:B113"/>
    <mergeCell ref="D178:D179"/>
    <mergeCell ref="C130:C143"/>
    <mergeCell ref="D151:D155"/>
    <mergeCell ref="B178:B18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zoomScale="85" zoomScaleNormal="85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AE41" sqref="AE41"/>
    </sheetView>
  </sheetViews>
  <sheetFormatPr baseColWidth="8" defaultColWidth="14.42578125" defaultRowHeight="15"/>
  <cols>
    <col width="5" customWidth="1" style="121" min="1" max="1"/>
    <col width="11.140625" customWidth="1" style="121" min="2" max="2"/>
    <col width="19.140625" customWidth="1" style="121" min="3" max="3"/>
    <col width="22" customWidth="1" style="121" min="4" max="4"/>
    <col width="43.42578125" customWidth="1" style="121" min="5" max="5"/>
    <col width="21.140625" customWidth="1" style="121" min="6" max="6"/>
    <col width="18.7109375" customWidth="1" style="121" min="7" max="7"/>
    <col width="24.28515625" customWidth="1" style="121" min="8" max="8"/>
    <col width="17.5703125" customWidth="1" style="121" min="9" max="9"/>
    <col width="17.7109375" customWidth="1" style="121" min="10" max="10"/>
    <col width="16.140625" customWidth="1" style="121" min="11" max="11"/>
    <col width="18.140625" customWidth="1" style="121" min="12" max="12"/>
    <col width="22.7109375" customWidth="1" style="121" min="13" max="13"/>
    <col width="17.5703125" customWidth="1" style="121" min="14" max="14"/>
    <col hidden="1" width="16" customWidth="1" style="121" min="15" max="15"/>
    <col hidden="1" width="19" customWidth="1" style="121" min="16" max="16"/>
    <col width="17.5703125" customWidth="1" style="121" min="17" max="17"/>
    <col width="19.42578125" customWidth="1" style="121" min="18" max="18"/>
    <col hidden="1" width="30" customWidth="1" style="121" min="19" max="19"/>
    <col hidden="1" width="35" customWidth="1" style="121" min="20" max="20"/>
    <col width="35" customWidth="1" style="121" min="21" max="21"/>
    <col width="8.7109375" customWidth="1" style="121" min="22" max="26"/>
  </cols>
  <sheetData>
    <row r="1" ht="30" customHeight="1" s="121">
      <c r="A1" s="125" t="inlineStr">
        <is>
          <t>CONVERT TRACKING — Chi tiết 34 màn</t>
        </is>
      </c>
    </row>
    <row r="2" ht="21.75" customHeight="1" s="121">
      <c r="A2" s="130" t="inlineStr">
        <is>
          <t>INFOMATION</t>
        </is>
      </c>
      <c r="B2" s="131" t="n"/>
      <c r="C2" s="131" t="n"/>
      <c r="D2" s="131" t="n"/>
      <c r="E2" s="131" t="n"/>
      <c r="F2" s="131" t="n"/>
      <c r="G2" s="130" t="inlineStr">
        <is>
          <t>Statistics by Each Step (B1 → B6)</t>
        </is>
      </c>
      <c r="H2" s="131" t="n"/>
      <c r="I2" s="131" t="n"/>
      <c r="J2" s="131" t="n"/>
      <c r="K2" s="131" t="n"/>
      <c r="L2" s="131" t="n"/>
      <c r="M2" s="130" t="inlineStr">
        <is>
          <t>Status</t>
        </is>
      </c>
      <c r="N2" s="131" t="n"/>
      <c r="O2" s="130" t="inlineStr">
        <is>
          <t>Time</t>
        </is>
      </c>
      <c r="P2" s="131" t="n"/>
      <c r="Q2" s="131" t="n"/>
      <c r="R2" s="131" t="n"/>
      <c r="S2" s="130" t="inlineStr">
        <is>
          <t>Document / LINK</t>
        </is>
      </c>
      <c r="T2" s="131" t="n"/>
      <c r="U2" s="131" t="n"/>
    </row>
    <row r="3" ht="42" customHeight="1" s="121">
      <c r="A3" s="5" t="inlineStr">
        <is>
          <t>No</t>
        </is>
      </c>
      <c r="B3" s="5" t="inlineStr">
        <is>
          <t>Phase</t>
        </is>
      </c>
      <c r="C3" s="5" t="inlineStr">
        <is>
          <t>Module Group</t>
        </is>
      </c>
      <c r="D3" s="5" t="inlineStr">
        <is>
          <t>Screen ID</t>
        </is>
      </c>
      <c r="E3" s="5" t="inlineStr">
        <is>
          <t>Screen Name (Ko)</t>
        </is>
      </c>
      <c r="F3" s="5" t="inlineStr">
        <is>
          <t>Assignee</t>
        </is>
      </c>
      <c r="G3" s="5" t="inlineStr">
        <is>
          <t>B1
Verify menu</t>
        </is>
      </c>
      <c r="H3" s="5" t="inlineStr">
        <is>
          <t>B2
Load page</t>
        </is>
      </c>
      <c r="I3" s="5" t="inlineStr">
        <is>
          <t>B3
Extract BizID</t>
        </is>
      </c>
      <c r="J3" s="5" t="inlineStr">
        <is>
          <t>B4
Trace tables</t>
        </is>
      </c>
      <c r="K3" s="5" t="inlineStr">
        <is>
          <t>B5
Request sent</t>
        </is>
      </c>
      <c r="L3" s="5" t="inlineStr">
        <is>
          <t>B6
Data ready</t>
        </is>
      </c>
      <c r="M3" s="5" t="inlineStr">
        <is>
          <t>Discovery
Progress</t>
        </is>
      </c>
      <c r="N3" s="5" t="inlineStr">
        <is>
          <t>Overall State</t>
        </is>
      </c>
      <c r="O3" s="5" t="inlineStr">
        <is>
          <t>Discovery started</t>
        </is>
      </c>
      <c r="P3" s="5" t="inlineStr">
        <is>
          <t>Discovery done</t>
        </is>
      </c>
      <c r="Q3" s="5" t="inlineStr">
        <is>
          <t>Req sent date</t>
        </is>
      </c>
      <c r="R3" s="5" t="inlineStr">
        <is>
          <t>Data received</t>
        </is>
      </c>
      <c r="S3" s="5" t="inlineStr">
        <is>
          <t>BizIDs found</t>
        </is>
      </c>
      <c r="T3" s="5" t="inlineStr">
        <is>
          <t>Tables needed</t>
        </is>
      </c>
      <c r="U3" s="5" t="inlineStr">
        <is>
          <t>Note / Blockers</t>
        </is>
      </c>
    </row>
    <row r="4" ht="44.45" customHeight="1" s="121">
      <c r="A4" s="31" t="n">
        <v>1</v>
      </c>
      <c r="B4" s="27" t="n"/>
      <c r="C4" s="28" t="n"/>
      <c r="D4" s="32" t="n"/>
      <c r="E4" s="28" t="n"/>
      <c r="F4" s="33" t="inlineStr">
        <is>
          <t>Vint</t>
        </is>
      </c>
      <c r="G4" s="40" t="inlineStr">
        <is>
          <t>Not Started</t>
        </is>
      </c>
      <c r="H4" s="40" t="inlineStr">
        <is>
          <t>Not Started</t>
        </is>
      </c>
      <c r="I4" s="40" t="inlineStr">
        <is>
          <t>Not Started</t>
        </is>
      </c>
      <c r="J4" s="34" t="inlineStr">
        <is>
          <t>Not Started</t>
        </is>
      </c>
      <c r="K4" s="34" t="inlineStr">
        <is>
          <t>Not Started</t>
        </is>
      </c>
      <c r="L4" s="34" t="inlineStr">
        <is>
          <t>Not Started</t>
        </is>
      </c>
      <c r="M4" s="35">
        <f>IFERROR(COUNTIF(G4:L4,"Done")/(6-COUNTIF(G4:L4,"N/A")),0)</f>
        <v/>
      </c>
      <c r="N4" s="4">
        <f>IF(COUNTIF(G4:L4,"Blocked")&gt;0,"Blocked",IF(COUNTIF(G4:L4,"Done")+COUNTIF(G4:L4,"N/A")=6,"Data Ready",IF(AND(K4="Done",L4&lt;&gt;"Done"),"Data Requested",IF(COUNTIF(G4:L4,"In Progress")+COUNTIF(G4:L4,"Done")&gt;0,"Discovery","Backlog"))))</f>
        <v/>
      </c>
      <c r="O4" s="36" t="n"/>
      <c r="P4" s="36" t="n"/>
      <c r="Q4" s="36" t="n"/>
      <c r="R4" s="36" t="n"/>
      <c r="S4" s="37" t="n"/>
      <c r="T4" s="37" t="n"/>
      <c r="U4" s="37" t="n"/>
    </row>
    <row r="5" ht="44.45" customHeight="1" s="121">
      <c r="A5" s="4" t="n">
        <v>2</v>
      </c>
      <c r="B5" s="30" t="n"/>
      <c r="C5" s="1" t="n"/>
      <c r="D5" s="38" t="n"/>
      <c r="E5" s="1" t="n"/>
      <c r="F5" s="33" t="inlineStr">
        <is>
          <t>Vint</t>
        </is>
      </c>
      <c r="G5" s="40" t="inlineStr">
        <is>
          <t>Not Started</t>
        </is>
      </c>
      <c r="H5" s="40" t="inlineStr">
        <is>
          <t>Not Started</t>
        </is>
      </c>
      <c r="I5" s="40" t="inlineStr">
        <is>
          <t>Not Started</t>
        </is>
      </c>
      <c r="J5" s="34" t="inlineStr">
        <is>
          <t>Not Started</t>
        </is>
      </c>
      <c r="K5" s="34" t="inlineStr">
        <is>
          <t>Not Started</t>
        </is>
      </c>
      <c r="L5" s="34" t="inlineStr">
        <is>
          <t>Not Started</t>
        </is>
      </c>
      <c r="M5" s="35">
        <f>IFERROR(COUNTIF(G5:L5,"Done")/(6-COUNTIF(G5:L5,"N/A")),0)</f>
        <v/>
      </c>
      <c r="N5" s="4">
        <f>IF(COUNTIF(G5:L5,"Blocked")&gt;0,"Blocked",IF(COUNTIF(G5:L5,"Done")+COUNTIF(G5:L5,"N/A")=6,"Data Ready",IF(AND(K5="Done",L5&lt;&gt;"Done"),"Data Requested",IF(COUNTIF(G5:L5,"In Progress")+COUNTIF(G5:L5,"Done")&gt;0,"Discovery","Backlog"))))</f>
        <v/>
      </c>
      <c r="O5" s="36" t="n"/>
      <c r="P5" s="36" t="n"/>
      <c r="Q5" s="36" t="n"/>
      <c r="R5" s="36" t="n"/>
      <c r="S5" s="37" t="n"/>
      <c r="T5" s="37" t="n"/>
      <c r="U5" s="37" t="n"/>
    </row>
    <row r="6" ht="44.45" customHeight="1" s="121">
      <c r="A6" s="31" t="n">
        <v>3</v>
      </c>
      <c r="B6" s="27" t="n"/>
      <c r="C6" s="28" t="n"/>
      <c r="D6" s="32" t="n"/>
      <c r="E6" s="28" t="n"/>
      <c r="F6" s="33" t="inlineStr">
        <is>
          <t>Vint</t>
        </is>
      </c>
      <c r="G6" s="40" t="inlineStr">
        <is>
          <t>Not Started</t>
        </is>
      </c>
      <c r="H6" s="40" t="inlineStr">
        <is>
          <t>Not Started</t>
        </is>
      </c>
      <c r="I6" s="40" t="inlineStr">
        <is>
          <t>Not Started</t>
        </is>
      </c>
      <c r="J6" s="34" t="inlineStr">
        <is>
          <t>Not Started</t>
        </is>
      </c>
      <c r="K6" s="34" t="inlineStr">
        <is>
          <t>Not Started</t>
        </is>
      </c>
      <c r="L6" s="34" t="inlineStr">
        <is>
          <t>Not Started</t>
        </is>
      </c>
      <c r="M6" s="35">
        <f>IFERROR(COUNTIF(G6:L6,"Done")/(6-COUNTIF(G6:L6,"N/A")),0)</f>
        <v/>
      </c>
      <c r="N6" s="4">
        <f>IF(COUNTIF(G6:L6,"Blocked")&gt;0,"Blocked",IF(COUNTIF(G6:L6,"Done")+COUNTIF(G6:L6,"N/A")=6,"Data Ready",IF(AND(K6="Done",L6&lt;&gt;"Done"),"Data Requested",IF(COUNTIF(G6:L6,"In Progress")+COUNTIF(G6:L6,"Done")&gt;0,"Discovery","Backlog"))))</f>
        <v/>
      </c>
      <c r="O6" s="36" t="n"/>
      <c r="P6" s="36" t="n"/>
      <c r="Q6" s="36" t="n"/>
      <c r="R6" s="36" t="n"/>
      <c r="S6" s="37" t="n"/>
      <c r="T6" s="37" t="n"/>
      <c r="U6" s="37" t="n"/>
    </row>
    <row r="7" ht="44.45" customHeight="1" s="121">
      <c r="A7" s="4" t="n">
        <v>4</v>
      </c>
      <c r="B7" s="30" t="n"/>
      <c r="C7" s="1" t="n"/>
      <c r="D7" s="38" t="n"/>
      <c r="E7" s="1" t="n"/>
      <c r="F7" s="33" t="inlineStr">
        <is>
          <t>Vint</t>
        </is>
      </c>
      <c r="G7" s="40" t="inlineStr">
        <is>
          <t>Not Started</t>
        </is>
      </c>
      <c r="H7" s="40" t="inlineStr">
        <is>
          <t>Not Started</t>
        </is>
      </c>
      <c r="I7" s="40" t="inlineStr">
        <is>
          <t>Not Started</t>
        </is>
      </c>
      <c r="J7" s="34" t="inlineStr">
        <is>
          <t>Not Started</t>
        </is>
      </c>
      <c r="K7" s="34" t="inlineStr">
        <is>
          <t>Not Started</t>
        </is>
      </c>
      <c r="L7" s="34" t="inlineStr">
        <is>
          <t>Not Started</t>
        </is>
      </c>
      <c r="M7" s="35">
        <f>IFERROR(COUNTIF(G7:L7,"Done")/(6-COUNTIF(G7:L7,"N/A")),0)</f>
        <v/>
      </c>
      <c r="N7" s="4">
        <f>IF(COUNTIF(G7:L7,"Blocked")&gt;0,"Blocked",IF(COUNTIF(G7:L7,"Done")+COUNTIF(G7:L7,"N/A")=6,"Data Ready",IF(AND(K7="Done",L7&lt;&gt;"Done"),"Data Requested",IF(COUNTIF(G7:L7,"In Progress")+COUNTIF(G7:L7,"Done")&gt;0,"Discovery","Backlog"))))</f>
        <v/>
      </c>
      <c r="O7" s="36" t="n"/>
      <c r="P7" s="36" t="n"/>
      <c r="Q7" s="36" t="n"/>
      <c r="R7" s="36" t="n"/>
      <c r="S7" s="37" t="n"/>
      <c r="T7" s="37" t="n"/>
      <c r="U7" s="37" t="n"/>
    </row>
    <row r="8" ht="44.45" customHeight="1" s="121">
      <c r="A8" s="31" t="n">
        <v>5</v>
      </c>
      <c r="B8" s="27" t="n"/>
      <c r="C8" s="28" t="n"/>
      <c r="D8" s="32" t="n"/>
      <c r="E8" s="28" t="n"/>
      <c r="F8" s="33" t="inlineStr">
        <is>
          <t>Vint</t>
        </is>
      </c>
      <c r="G8" s="40" t="inlineStr">
        <is>
          <t>Not Started</t>
        </is>
      </c>
      <c r="H8" s="40" t="inlineStr">
        <is>
          <t>Not Started</t>
        </is>
      </c>
      <c r="I8" s="40" t="inlineStr">
        <is>
          <t>Not Started</t>
        </is>
      </c>
      <c r="J8" s="34" t="inlineStr">
        <is>
          <t>Not Started</t>
        </is>
      </c>
      <c r="K8" s="34" t="inlineStr">
        <is>
          <t>Not Started</t>
        </is>
      </c>
      <c r="L8" s="34" t="inlineStr">
        <is>
          <t>Not Started</t>
        </is>
      </c>
      <c r="M8" s="35">
        <f>IFERROR(COUNTIF(G8:L8,"Done")/(6-COUNTIF(G8:L8,"N/A")),0)</f>
        <v/>
      </c>
      <c r="N8" s="4">
        <f>IF(COUNTIF(G8:L8,"Blocked")&gt;0,"Blocked",IF(COUNTIF(G8:L8,"Done")+COUNTIF(G8:L8,"N/A")=6,"Data Ready",IF(AND(K8="Done",L8&lt;&gt;"Done"),"Data Requested",IF(COUNTIF(G8:L8,"In Progress")+COUNTIF(G8:L8,"Done")&gt;0,"Discovery","Backlog"))))</f>
        <v/>
      </c>
      <c r="O8" s="36" t="n"/>
      <c r="P8" s="36" t="n"/>
      <c r="Q8" s="36" t="n"/>
      <c r="R8" s="36" t="n"/>
      <c r="S8" s="37" t="n"/>
      <c r="T8" s="37" t="n"/>
      <c r="U8" s="37" t="n"/>
    </row>
    <row r="9" ht="44.45" customHeight="1" s="121">
      <c r="A9" s="4" t="n">
        <v>6</v>
      </c>
      <c r="B9" s="30" t="n"/>
      <c r="C9" s="1" t="n"/>
      <c r="D9" s="38" t="n"/>
      <c r="E9" s="1" t="n"/>
      <c r="F9" s="33" t="inlineStr">
        <is>
          <t>Vint</t>
        </is>
      </c>
      <c r="G9" s="40" t="inlineStr">
        <is>
          <t>Not Started</t>
        </is>
      </c>
      <c r="H9" s="40" t="inlineStr">
        <is>
          <t>Not Started</t>
        </is>
      </c>
      <c r="I9" s="40" t="inlineStr">
        <is>
          <t>Not Started</t>
        </is>
      </c>
      <c r="J9" s="34" t="inlineStr">
        <is>
          <t>Not Started</t>
        </is>
      </c>
      <c r="K9" s="34" t="inlineStr">
        <is>
          <t>Not Started</t>
        </is>
      </c>
      <c r="L9" s="34" t="inlineStr">
        <is>
          <t>Not Started</t>
        </is>
      </c>
      <c r="M9" s="35">
        <f>IFERROR(COUNTIF(G9:L9,"Done")/(6-COUNTIF(G9:L9,"N/A")),0)</f>
        <v/>
      </c>
      <c r="N9" s="4">
        <f>IF(COUNTIF(G9:L9,"Blocked")&gt;0,"Blocked",IF(COUNTIF(G9:L9,"Done")+COUNTIF(G9:L9,"N/A")=6,"Data Ready",IF(AND(K9="Done",L9&lt;&gt;"Done"),"Data Requested",IF(COUNTIF(G9:L9,"In Progress")+COUNTIF(G9:L9,"Done")&gt;0,"Discovery","Backlog"))))</f>
        <v/>
      </c>
      <c r="O9" s="36" t="n"/>
      <c r="P9" s="36" t="n"/>
      <c r="Q9" s="36" t="n"/>
      <c r="R9" s="36" t="n"/>
      <c r="S9" s="37" t="n"/>
      <c r="T9" s="37" t="n"/>
      <c r="U9" s="37" t="n"/>
    </row>
    <row r="10" ht="44.45" customHeight="1" s="121">
      <c r="A10" s="31" t="n">
        <v>7</v>
      </c>
      <c r="B10" s="27" t="n"/>
      <c r="C10" s="28" t="n"/>
      <c r="D10" s="32" t="n"/>
      <c r="E10" s="28" t="n"/>
      <c r="F10" s="33" t="inlineStr">
        <is>
          <t>Vint</t>
        </is>
      </c>
      <c r="G10" s="40" t="inlineStr">
        <is>
          <t>Not Started</t>
        </is>
      </c>
      <c r="H10" s="40" t="inlineStr">
        <is>
          <t>Not Started</t>
        </is>
      </c>
      <c r="I10" s="40" t="inlineStr">
        <is>
          <t>Not Started</t>
        </is>
      </c>
      <c r="J10" s="34" t="inlineStr">
        <is>
          <t>Not Started</t>
        </is>
      </c>
      <c r="K10" s="34" t="inlineStr">
        <is>
          <t>Not Started</t>
        </is>
      </c>
      <c r="L10" s="34" t="inlineStr">
        <is>
          <t>Not Started</t>
        </is>
      </c>
      <c r="M10" s="35">
        <f>IFERROR(COUNTIF(G10:L10,"Done")/(6-COUNTIF(G10:L10,"N/A")),0)</f>
        <v/>
      </c>
      <c r="N10" s="4">
        <f>IF(COUNTIF(G10:L10,"Blocked")&gt;0,"Blocked",IF(COUNTIF(G10:L10,"Done")+COUNTIF(G10:L10,"N/A")=6,"Data Ready",IF(AND(K10="Done",L10&lt;&gt;"Done"),"Data Requested",IF(COUNTIF(G10:L10,"In Progress")+COUNTIF(G10:L10,"Done")&gt;0,"Discovery","Backlog"))))</f>
        <v/>
      </c>
      <c r="O10" s="36" t="n"/>
      <c r="P10" s="36" t="n"/>
      <c r="Q10" s="36" t="n"/>
      <c r="R10" s="36" t="n"/>
      <c r="S10" s="37" t="n"/>
      <c r="T10" s="37" t="n"/>
      <c r="U10" s="37" t="n"/>
    </row>
    <row r="11" ht="44.45" customHeight="1" s="121">
      <c r="A11" s="4" t="n">
        <v>8</v>
      </c>
      <c r="B11" s="30" t="n"/>
      <c r="C11" s="1" t="n"/>
      <c r="D11" s="38" t="n"/>
      <c r="E11" s="1" t="n"/>
      <c r="F11" s="33" t="inlineStr">
        <is>
          <t>Vint</t>
        </is>
      </c>
      <c r="G11" s="40" t="inlineStr">
        <is>
          <t>Not Started</t>
        </is>
      </c>
      <c r="H11" s="40" t="inlineStr">
        <is>
          <t>Not Started</t>
        </is>
      </c>
      <c r="I11" s="40" t="inlineStr">
        <is>
          <t>Not Started</t>
        </is>
      </c>
      <c r="J11" s="34" t="inlineStr">
        <is>
          <t>Not Started</t>
        </is>
      </c>
      <c r="K11" s="34" t="inlineStr">
        <is>
          <t>Not Started</t>
        </is>
      </c>
      <c r="L11" s="34" t="inlineStr">
        <is>
          <t>Not Started</t>
        </is>
      </c>
      <c r="M11" s="35">
        <f>IFERROR(COUNTIF(G11:L11,"Done")/(6-COUNTIF(G11:L11,"N/A")),0)</f>
        <v/>
      </c>
      <c r="N11" s="4">
        <f>IF(COUNTIF(G11:L11,"Blocked")&gt;0,"Blocked",IF(COUNTIF(G11:L11,"Done")+COUNTIF(G11:L11,"N/A")=6,"Data Ready",IF(AND(K11="Done",L11&lt;&gt;"Done"),"Data Requested",IF(COUNTIF(G11:L11,"In Progress")+COUNTIF(G11:L11,"Done")&gt;0,"Discovery","Backlog"))))</f>
        <v/>
      </c>
      <c r="O11" s="36" t="n"/>
      <c r="P11" s="36" t="n"/>
      <c r="Q11" s="36" t="n"/>
      <c r="R11" s="36" t="n"/>
      <c r="S11" s="37" t="n"/>
      <c r="T11" s="37" t="n"/>
      <c r="U11" s="37" t="n"/>
    </row>
    <row r="12" ht="44.45" customHeight="1" s="121">
      <c r="A12" s="31" t="n">
        <v>9</v>
      </c>
      <c r="B12" s="27" t="n"/>
      <c r="C12" s="28" t="n"/>
      <c r="D12" s="32" t="n"/>
      <c r="E12" s="28" t="n"/>
      <c r="F12" s="33" t="inlineStr">
        <is>
          <t>Vint</t>
        </is>
      </c>
      <c r="G12" s="40" t="inlineStr">
        <is>
          <t>Not Started</t>
        </is>
      </c>
      <c r="H12" s="40" t="inlineStr">
        <is>
          <t>Not Started</t>
        </is>
      </c>
      <c r="I12" s="40" t="inlineStr">
        <is>
          <t>Not Started</t>
        </is>
      </c>
      <c r="J12" s="34" t="inlineStr">
        <is>
          <t>Not Started</t>
        </is>
      </c>
      <c r="K12" s="34" t="inlineStr">
        <is>
          <t>Not Started</t>
        </is>
      </c>
      <c r="L12" s="34" t="inlineStr">
        <is>
          <t>Not Started</t>
        </is>
      </c>
      <c r="M12" s="35">
        <f>IFERROR(COUNTIF(G12:L12,"Done")/(6-COUNTIF(G12:L12,"N/A")),0)</f>
        <v/>
      </c>
      <c r="N12" s="4">
        <f>IF(COUNTIF(G12:L12,"Blocked")&gt;0,"Blocked",IF(COUNTIF(G12:L12,"Done")+COUNTIF(G12:L12,"N/A")=6,"Data Ready",IF(AND(K12="Done",L12&lt;&gt;"Done"),"Data Requested",IF(COUNTIF(G12:L12,"In Progress")+COUNTIF(G12:L12,"Done")&gt;0,"Discovery","Backlog"))))</f>
        <v/>
      </c>
      <c r="O12" s="36" t="n"/>
      <c r="P12" s="36" t="n"/>
      <c r="Q12" s="36" t="n"/>
      <c r="R12" s="36" t="n"/>
      <c r="S12" s="37" t="n"/>
      <c r="T12" s="37" t="n"/>
      <c r="U12" s="37" t="n"/>
    </row>
    <row r="13" ht="44.45" customHeight="1" s="121">
      <c r="A13" s="4" t="n">
        <v>10</v>
      </c>
      <c r="B13" s="30" t="n"/>
      <c r="C13" s="1" t="n"/>
      <c r="D13" s="38" t="n"/>
      <c r="E13" s="1" t="n"/>
      <c r="F13" s="33" t="inlineStr">
        <is>
          <t>Vint</t>
        </is>
      </c>
      <c r="G13" s="40" t="inlineStr">
        <is>
          <t>Not Started</t>
        </is>
      </c>
      <c r="H13" s="40" t="inlineStr">
        <is>
          <t>Not Started</t>
        </is>
      </c>
      <c r="I13" s="40" t="inlineStr">
        <is>
          <t>Not Started</t>
        </is>
      </c>
      <c r="J13" s="34" t="inlineStr">
        <is>
          <t>Not Started</t>
        </is>
      </c>
      <c r="K13" s="34" t="inlineStr">
        <is>
          <t>Not Started</t>
        </is>
      </c>
      <c r="L13" s="34" t="inlineStr">
        <is>
          <t>Not Started</t>
        </is>
      </c>
      <c r="M13" s="35">
        <f>IFERROR(COUNTIF(G13:L13,"Done")/(6-COUNTIF(G13:L13,"N/A")),0)</f>
        <v/>
      </c>
      <c r="N13" s="4">
        <f>IF(COUNTIF(G13:L13,"Blocked")&gt;0,"Blocked",IF(COUNTIF(G13:L13,"Done")+COUNTIF(G13:L13,"N/A")=6,"Data Ready",IF(AND(K13="Done",L13&lt;&gt;"Done"),"Data Requested",IF(COUNTIF(G13:L13,"In Progress")+COUNTIF(G13:L13,"Done")&gt;0,"Discovery","Backlog"))))</f>
        <v/>
      </c>
      <c r="O13" s="36" t="n"/>
      <c r="P13" s="36" t="n"/>
      <c r="Q13" s="36" t="n"/>
      <c r="R13" s="36" t="n"/>
      <c r="S13" s="37" t="n"/>
      <c r="T13" s="37" t="n"/>
      <c r="U13" s="37" t="n"/>
    </row>
    <row r="14" ht="44.45" customHeight="1" s="121">
      <c r="A14" s="31" t="n">
        <v>11</v>
      </c>
      <c r="B14" s="27" t="n"/>
      <c r="C14" s="28" t="n"/>
      <c r="D14" s="32" t="n"/>
      <c r="E14" s="28" t="n"/>
      <c r="F14" s="33" t="inlineStr">
        <is>
          <t>Hughie</t>
        </is>
      </c>
      <c r="G14" s="40" t="inlineStr">
        <is>
          <t>Not Started</t>
        </is>
      </c>
      <c r="H14" s="40" t="inlineStr">
        <is>
          <t>Not Started</t>
        </is>
      </c>
      <c r="I14" s="40" t="inlineStr">
        <is>
          <t>Not Started</t>
        </is>
      </c>
      <c r="J14" s="34" t="inlineStr">
        <is>
          <t>Not Started</t>
        </is>
      </c>
      <c r="K14" s="34" t="inlineStr">
        <is>
          <t>Not Started</t>
        </is>
      </c>
      <c r="L14" s="34" t="inlineStr">
        <is>
          <t>Not Started</t>
        </is>
      </c>
      <c r="M14" s="35">
        <f>IFERROR(COUNTIF(G14:L14,"Done")/(6-COUNTIF(G14:L14,"N/A")),0)</f>
        <v/>
      </c>
      <c r="N14" s="4">
        <f>IF(COUNTIF(G14:L14,"Blocked")&gt;0,"Blocked",IF(COUNTIF(G14:L14,"Done")+COUNTIF(G14:L14,"N/A")=6,"Data Ready",IF(AND(K14="Done",L14&lt;&gt;"Done"),"Data Requested",IF(COUNTIF(G14:L14,"In Progress")+COUNTIF(G14:L14,"Done")&gt;0,"Discovery","Backlog"))))</f>
        <v/>
      </c>
      <c r="O14" s="36" t="n"/>
      <c r="P14" s="36" t="n"/>
      <c r="Q14" s="36" t="n"/>
      <c r="R14" s="36" t="n"/>
      <c r="S14" s="37" t="n"/>
      <c r="T14" s="37" t="n"/>
      <c r="U14" s="37" t="n"/>
    </row>
    <row r="15" ht="44.45" customHeight="1" s="121">
      <c r="A15" s="4" t="n">
        <v>12</v>
      </c>
      <c r="B15" s="30" t="n"/>
      <c r="C15" s="1" t="n"/>
      <c r="D15" s="38" t="n"/>
      <c r="E15" s="1" t="n"/>
      <c r="F15" s="33" t="inlineStr">
        <is>
          <t>Hughie</t>
        </is>
      </c>
      <c r="G15" s="40" t="inlineStr">
        <is>
          <t>Not Started</t>
        </is>
      </c>
      <c r="H15" s="40" t="inlineStr">
        <is>
          <t>Not Started</t>
        </is>
      </c>
      <c r="I15" s="40" t="inlineStr">
        <is>
          <t>Not Started</t>
        </is>
      </c>
      <c r="J15" s="34" t="inlineStr">
        <is>
          <t>Not Started</t>
        </is>
      </c>
      <c r="K15" s="34" t="inlineStr">
        <is>
          <t>Not Started</t>
        </is>
      </c>
      <c r="L15" s="34" t="inlineStr">
        <is>
          <t>Not Started</t>
        </is>
      </c>
      <c r="M15" s="35">
        <f>IFERROR(COUNTIF(G15:L15,"Done")/(6-COUNTIF(G15:L15,"N/A")),0)</f>
        <v/>
      </c>
      <c r="N15" s="4">
        <f>IF(COUNTIF(G15:L15,"Blocked")&gt;0,"Blocked",IF(COUNTIF(G15:L15,"Done")+COUNTIF(G15:L15,"N/A")=6,"Data Ready",IF(AND(K15="Done",L15&lt;&gt;"Done"),"Data Requested",IF(COUNTIF(G15:L15,"In Progress")+COUNTIF(G15:L15,"Done")&gt;0,"Discovery","Backlog"))))</f>
        <v/>
      </c>
      <c r="O15" s="36" t="n"/>
      <c r="P15" s="36" t="n"/>
      <c r="Q15" s="36" t="n"/>
      <c r="R15" s="36" t="n"/>
      <c r="S15" s="37" t="n"/>
      <c r="T15" s="37" t="n"/>
      <c r="U15" s="37" t="n"/>
    </row>
    <row r="16" ht="44.45" customHeight="1" s="121">
      <c r="A16" s="31" t="n">
        <v>13</v>
      </c>
      <c r="B16" s="27" t="n"/>
      <c r="C16" s="28" t="n"/>
      <c r="D16" s="32" t="n"/>
      <c r="E16" s="28" t="n"/>
      <c r="F16" s="33" t="inlineStr">
        <is>
          <t>Hughie</t>
        </is>
      </c>
      <c r="G16" s="40" t="inlineStr">
        <is>
          <t>Not Started</t>
        </is>
      </c>
      <c r="H16" s="40" t="inlineStr">
        <is>
          <t>Not Started</t>
        </is>
      </c>
      <c r="I16" s="40" t="inlineStr">
        <is>
          <t>Not Started</t>
        </is>
      </c>
      <c r="J16" s="34" t="inlineStr">
        <is>
          <t>Not Started</t>
        </is>
      </c>
      <c r="K16" s="34" t="inlineStr">
        <is>
          <t>Not Started</t>
        </is>
      </c>
      <c r="L16" s="34" t="inlineStr">
        <is>
          <t>Not Started</t>
        </is>
      </c>
      <c r="M16" s="35">
        <f>IFERROR(COUNTIF(G16:L16,"Done")/(6-COUNTIF(G16:L16,"N/A")),0)</f>
        <v/>
      </c>
      <c r="N16" s="4">
        <f>IF(COUNTIF(G16:L16,"Blocked")&gt;0,"Blocked",IF(COUNTIF(G16:L16,"Done")+COUNTIF(G16:L16,"N/A")=6,"Data Ready",IF(AND(K16="Done",L16&lt;&gt;"Done"),"Data Requested",IF(COUNTIF(G16:L16,"In Progress")+COUNTIF(G16:L16,"Done")&gt;0,"Discovery","Backlog"))))</f>
        <v/>
      </c>
      <c r="O16" s="36" t="n"/>
      <c r="P16" s="36" t="n"/>
      <c r="Q16" s="36" t="n"/>
      <c r="R16" s="36" t="n"/>
      <c r="S16" s="37" t="n"/>
      <c r="T16" s="37" t="n"/>
      <c r="U16" s="37" t="n"/>
    </row>
    <row r="17" ht="44.45" customHeight="1" s="121">
      <c r="A17" s="4" t="n">
        <v>14</v>
      </c>
      <c r="B17" s="30" t="n"/>
      <c r="C17" s="1" t="n"/>
      <c r="D17" s="38" t="n"/>
      <c r="E17" s="1" t="n"/>
      <c r="F17" s="33" t="inlineStr">
        <is>
          <t>Hughie</t>
        </is>
      </c>
      <c r="G17" s="40" t="inlineStr">
        <is>
          <t>Not Started</t>
        </is>
      </c>
      <c r="H17" s="40" t="inlineStr">
        <is>
          <t>Not Started</t>
        </is>
      </c>
      <c r="I17" s="40" t="inlineStr">
        <is>
          <t>Not Started</t>
        </is>
      </c>
      <c r="J17" s="34" t="inlineStr">
        <is>
          <t>Not Started</t>
        </is>
      </c>
      <c r="K17" s="34" t="inlineStr">
        <is>
          <t>Not Started</t>
        </is>
      </c>
      <c r="L17" s="34" t="inlineStr">
        <is>
          <t>Not Started</t>
        </is>
      </c>
      <c r="M17" s="35">
        <f>IFERROR(COUNTIF(G17:L17,"Done")/(6-COUNTIF(G17:L17,"N/A")),0)</f>
        <v/>
      </c>
      <c r="N17" s="4">
        <f>IF(COUNTIF(G17:L17,"Blocked")&gt;0,"Blocked",IF(COUNTIF(G17:L17,"Done")+COUNTIF(G17:L17,"N/A")=6,"Data Ready",IF(AND(K17="Done",L17&lt;&gt;"Done"),"Data Requested",IF(COUNTIF(G17:L17,"In Progress")+COUNTIF(G17:L17,"Done")&gt;0,"Discovery","Backlog"))))</f>
        <v/>
      </c>
      <c r="O17" s="36" t="n"/>
      <c r="P17" s="36" t="n"/>
      <c r="Q17" s="36" t="n"/>
      <c r="R17" s="36" t="n"/>
      <c r="S17" s="37" t="n"/>
      <c r="T17" s="37" t="n"/>
      <c r="U17" s="37" t="n"/>
    </row>
    <row r="18" ht="44.45" customHeight="1" s="121">
      <c r="A18" s="31" t="n">
        <v>15</v>
      </c>
      <c r="B18" s="27" t="n"/>
      <c r="C18" s="28" t="n"/>
      <c r="D18" s="32" t="n"/>
      <c r="E18" s="28" t="n"/>
      <c r="F18" s="33" t="inlineStr">
        <is>
          <t>Hughie</t>
        </is>
      </c>
      <c r="G18" s="40" t="inlineStr">
        <is>
          <t>Not Started</t>
        </is>
      </c>
      <c r="H18" s="40" t="inlineStr">
        <is>
          <t>Not Started</t>
        </is>
      </c>
      <c r="I18" s="40" t="inlineStr">
        <is>
          <t>Not Started</t>
        </is>
      </c>
      <c r="J18" s="34" t="inlineStr">
        <is>
          <t>Not Started</t>
        </is>
      </c>
      <c r="K18" s="34" t="inlineStr">
        <is>
          <t>Not Started</t>
        </is>
      </c>
      <c r="L18" s="34" t="inlineStr">
        <is>
          <t>Not Started</t>
        </is>
      </c>
      <c r="M18" s="35">
        <f>IFERROR(COUNTIF(G18:L18,"Done")/(6-COUNTIF(G18:L18,"N/A")),0)</f>
        <v/>
      </c>
      <c r="N18" s="4">
        <f>IF(COUNTIF(G18:L18,"Blocked")&gt;0,"Blocked",IF(COUNTIF(G18:L18,"Done")+COUNTIF(G18:L18,"N/A")=6,"Data Ready",IF(AND(K18="Done",L18&lt;&gt;"Done"),"Data Requested",IF(COUNTIF(G18:L18,"In Progress")+COUNTIF(G18:L18,"Done")&gt;0,"Discovery","Backlog"))))</f>
        <v/>
      </c>
      <c r="O18" s="36" t="n"/>
      <c r="P18" s="36" t="n"/>
      <c r="Q18" s="36" t="n"/>
      <c r="R18" s="36" t="n"/>
      <c r="S18" s="37" t="n"/>
      <c r="T18" s="37" t="n"/>
      <c r="U18" s="37" t="n"/>
    </row>
    <row r="19" ht="44.45" customHeight="1" s="121">
      <c r="A19" s="4" t="n">
        <v>16</v>
      </c>
      <c r="B19" s="30" t="n"/>
      <c r="C19" s="1" t="n"/>
      <c r="D19" s="38" t="n"/>
      <c r="E19" s="1" t="n"/>
      <c r="F19" s="33" t="inlineStr">
        <is>
          <t>Hughie</t>
        </is>
      </c>
      <c r="G19" s="40" t="inlineStr">
        <is>
          <t>Not Started</t>
        </is>
      </c>
      <c r="H19" s="40" t="inlineStr">
        <is>
          <t>Not Started</t>
        </is>
      </c>
      <c r="I19" s="40" t="inlineStr">
        <is>
          <t>Not Started</t>
        </is>
      </c>
      <c r="J19" s="34" t="inlineStr">
        <is>
          <t>Not Started</t>
        </is>
      </c>
      <c r="K19" s="34" t="inlineStr">
        <is>
          <t>Not Started</t>
        </is>
      </c>
      <c r="L19" s="34" t="inlineStr">
        <is>
          <t>Not Started</t>
        </is>
      </c>
      <c r="M19" s="35">
        <f>IFERROR(COUNTIF(G19:L19,"Done")/(6-COUNTIF(G19:L19,"N/A")),0)</f>
        <v/>
      </c>
      <c r="N19" s="4">
        <f>IF(COUNTIF(G19:L19,"Blocked")&gt;0,"Blocked",IF(COUNTIF(G19:L19,"Done")+COUNTIF(G19:L19,"N/A")=6,"Data Ready",IF(AND(K19="Done",L19&lt;&gt;"Done"),"Data Requested",IF(COUNTIF(G19:L19,"In Progress")+COUNTIF(G19:L19,"Done")&gt;0,"Discovery","Backlog"))))</f>
        <v/>
      </c>
      <c r="O19" s="36" t="n"/>
      <c r="P19" s="36" t="n"/>
      <c r="Q19" s="36" t="n"/>
      <c r="R19" s="36" t="n"/>
      <c r="S19" s="37" t="n"/>
      <c r="T19" s="37" t="n"/>
      <c r="U19" s="37" t="n"/>
    </row>
    <row r="20" ht="44.45" customHeight="1" s="121">
      <c r="A20" s="31" t="n">
        <v>17</v>
      </c>
      <c r="B20" s="27" t="n"/>
      <c r="C20" s="28" t="n"/>
      <c r="D20" s="32" t="n"/>
      <c r="E20" s="28" t="n"/>
      <c r="F20" s="33" t="inlineStr">
        <is>
          <t>Hughie</t>
        </is>
      </c>
      <c r="G20" s="40" t="inlineStr">
        <is>
          <t>Not Started</t>
        </is>
      </c>
      <c r="H20" s="40" t="inlineStr">
        <is>
          <t>Not Started</t>
        </is>
      </c>
      <c r="I20" s="40" t="inlineStr">
        <is>
          <t>Not Started</t>
        </is>
      </c>
      <c r="J20" s="34" t="inlineStr">
        <is>
          <t>Not Started</t>
        </is>
      </c>
      <c r="K20" s="34" t="inlineStr">
        <is>
          <t>Not Started</t>
        </is>
      </c>
      <c r="L20" s="34" t="inlineStr">
        <is>
          <t>Not Started</t>
        </is>
      </c>
      <c r="M20" s="35">
        <f>IFERROR(COUNTIF(G20:L20,"Done")/(6-COUNTIF(G20:L20,"N/A")),0)</f>
        <v/>
      </c>
      <c r="N20" s="4">
        <f>IF(COUNTIF(G20:L20,"Blocked")&gt;0,"Blocked",IF(COUNTIF(G20:L20,"Done")+COUNTIF(G20:L20,"N/A")=6,"Data Ready",IF(AND(K20="Done",L20&lt;&gt;"Done"),"Data Requested",IF(COUNTIF(G20:L20,"In Progress")+COUNTIF(G20:L20,"Done")&gt;0,"Discovery","Backlog"))))</f>
        <v/>
      </c>
      <c r="O20" s="36" t="n"/>
      <c r="P20" s="36" t="n"/>
      <c r="Q20" s="36" t="n"/>
      <c r="R20" s="36" t="n"/>
      <c r="S20" s="37" t="n"/>
      <c r="T20" s="37" t="n"/>
      <c r="U20" s="37" t="n"/>
    </row>
    <row r="21" ht="44.45" customHeight="1" s="121">
      <c r="A21" s="4" t="n">
        <v>18</v>
      </c>
      <c r="B21" s="30" t="n"/>
      <c r="C21" s="1" t="n"/>
      <c r="D21" s="38" t="n"/>
      <c r="E21" s="1" t="n"/>
      <c r="F21" s="33" t="inlineStr">
        <is>
          <t>Hughie</t>
        </is>
      </c>
      <c r="G21" s="40" t="inlineStr">
        <is>
          <t>Not Started</t>
        </is>
      </c>
      <c r="H21" s="40" t="inlineStr">
        <is>
          <t>Not Started</t>
        </is>
      </c>
      <c r="I21" s="40" t="inlineStr">
        <is>
          <t>Not Started</t>
        </is>
      </c>
      <c r="J21" s="34" t="inlineStr">
        <is>
          <t>Not Started</t>
        </is>
      </c>
      <c r="K21" s="34" t="inlineStr">
        <is>
          <t>Not Started</t>
        </is>
      </c>
      <c r="L21" s="34" t="inlineStr">
        <is>
          <t>Not Started</t>
        </is>
      </c>
      <c r="M21" s="35">
        <f>IFERROR(COUNTIF(G21:L21,"Done")/(6-COUNTIF(G21:L21,"N/A")),0)</f>
        <v/>
      </c>
      <c r="N21" s="4">
        <f>IF(COUNTIF(G21:L21,"Blocked")&gt;0,"Blocked",IF(COUNTIF(G21:L21,"Done")+COUNTIF(G21:L21,"N/A")=6,"Data Ready",IF(AND(K21="Done",L21&lt;&gt;"Done"),"Data Requested",IF(COUNTIF(G21:L21,"In Progress")+COUNTIF(G21:L21,"Done")&gt;0,"Discovery","Backlog"))))</f>
        <v/>
      </c>
      <c r="O21" s="36" t="n"/>
      <c r="P21" s="36" t="n"/>
      <c r="Q21" s="36" t="n"/>
      <c r="R21" s="36" t="n"/>
      <c r="S21" s="37" t="n"/>
      <c r="T21" s="37" t="n"/>
      <c r="U21" s="37" t="n"/>
    </row>
    <row r="22" ht="44.45" customHeight="1" s="121">
      <c r="A22" s="31" t="n">
        <v>19</v>
      </c>
      <c r="B22" s="27" t="n"/>
      <c r="C22" s="28" t="n"/>
      <c r="D22" s="32" t="n"/>
      <c r="E22" s="28" t="n"/>
      <c r="F22" s="33" t="inlineStr">
        <is>
          <t>Steve</t>
        </is>
      </c>
      <c r="G22" s="40" t="inlineStr">
        <is>
          <t>Not Started</t>
        </is>
      </c>
      <c r="H22" s="40" t="inlineStr">
        <is>
          <t>Not Started</t>
        </is>
      </c>
      <c r="I22" s="40" t="inlineStr">
        <is>
          <t>Not Started</t>
        </is>
      </c>
      <c r="J22" s="34" t="inlineStr">
        <is>
          <t>Not Started</t>
        </is>
      </c>
      <c r="K22" s="34" t="inlineStr">
        <is>
          <t>Not Started</t>
        </is>
      </c>
      <c r="L22" s="34" t="inlineStr">
        <is>
          <t>Not Started</t>
        </is>
      </c>
      <c r="M22" s="35">
        <f>IFERROR(COUNTIF(G22:L22,"Done")/(6-COUNTIF(G22:L22,"N/A")),0)</f>
        <v/>
      </c>
      <c r="N22" s="4">
        <f>IF(COUNTIF(G22:L22,"Blocked")&gt;0,"Blocked",IF(COUNTIF(G22:L22,"Done")+COUNTIF(G22:L22,"N/A")=6,"Data Ready",IF(AND(K22="Done",L22&lt;&gt;"Done"),"Data Requested",IF(COUNTIF(G22:L22,"In Progress")+COUNTIF(G22:L22,"Done")&gt;0,"Discovery","Backlog"))))</f>
        <v/>
      </c>
      <c r="O22" s="36" t="n"/>
      <c r="P22" s="36" t="n"/>
      <c r="Q22" s="36" t="n"/>
      <c r="R22" s="36" t="n"/>
      <c r="S22" s="37" t="n"/>
      <c r="T22" s="37" t="n"/>
      <c r="U22" s="37" t="n"/>
    </row>
    <row r="23" ht="44.45" customHeight="1" s="121">
      <c r="A23" s="4" t="n">
        <v>20</v>
      </c>
      <c r="B23" s="30" t="n"/>
      <c r="C23" s="1" t="n"/>
      <c r="D23" s="38" t="n"/>
      <c r="E23" s="1" t="n"/>
      <c r="F23" s="33" t="inlineStr">
        <is>
          <t>Steve</t>
        </is>
      </c>
      <c r="G23" s="40" t="inlineStr">
        <is>
          <t>Not Started</t>
        </is>
      </c>
      <c r="H23" s="40" t="inlineStr">
        <is>
          <t>Not Started</t>
        </is>
      </c>
      <c r="I23" s="40" t="inlineStr">
        <is>
          <t>Not Started</t>
        </is>
      </c>
      <c r="J23" s="34" t="inlineStr">
        <is>
          <t>Not Started</t>
        </is>
      </c>
      <c r="K23" s="34" t="inlineStr">
        <is>
          <t>Not Started</t>
        </is>
      </c>
      <c r="L23" s="34" t="inlineStr">
        <is>
          <t>Not Started</t>
        </is>
      </c>
      <c r="M23" s="35">
        <f>IFERROR(COUNTIF(G23:L23,"Done")/(6-COUNTIF(G23:L23,"N/A")),0)</f>
        <v/>
      </c>
      <c r="N23" s="4">
        <f>IF(COUNTIF(G23:L23,"Blocked")&gt;0,"Blocked",IF(COUNTIF(G23:L23,"Done")+COUNTIF(G23:L23,"N/A")=6,"Data Ready",IF(AND(K23="Done",L23&lt;&gt;"Done"),"Data Requested",IF(COUNTIF(G23:L23,"In Progress")+COUNTIF(G23:L23,"Done")&gt;0,"Discovery","Backlog"))))</f>
        <v/>
      </c>
      <c r="O23" s="36" t="n"/>
      <c r="P23" s="36" t="n"/>
      <c r="Q23" s="36" t="n"/>
      <c r="R23" s="36" t="n"/>
      <c r="S23" s="37" t="n"/>
      <c r="T23" s="37" t="n"/>
      <c r="U23" s="37" t="n"/>
    </row>
    <row r="24" ht="44.45" customHeight="1" s="121">
      <c r="A24" s="31" t="n">
        <v>21</v>
      </c>
      <c r="B24" s="27" t="n"/>
      <c r="C24" s="28" t="n"/>
      <c r="D24" s="32" t="n"/>
      <c r="E24" s="28" t="n"/>
      <c r="F24" s="33" t="inlineStr">
        <is>
          <t>Steve</t>
        </is>
      </c>
      <c r="G24" s="40" t="inlineStr">
        <is>
          <t>Not Started</t>
        </is>
      </c>
      <c r="H24" s="40" t="inlineStr">
        <is>
          <t>Not Started</t>
        </is>
      </c>
      <c r="I24" s="40" t="inlineStr">
        <is>
          <t>Not Started</t>
        </is>
      </c>
      <c r="J24" s="34" t="inlineStr">
        <is>
          <t>Not Started</t>
        </is>
      </c>
      <c r="K24" s="34" t="inlineStr">
        <is>
          <t>Not Started</t>
        </is>
      </c>
      <c r="L24" s="34" t="inlineStr">
        <is>
          <t>Not Started</t>
        </is>
      </c>
      <c r="M24" s="35">
        <f>IFERROR(COUNTIF(G24:L24,"Done")/(6-COUNTIF(G24:L24,"N/A")),0)</f>
        <v/>
      </c>
      <c r="N24" s="4">
        <f>IF(COUNTIF(G24:L24,"Blocked")&gt;0,"Blocked",IF(COUNTIF(G24:L24,"Done")+COUNTIF(G24:L24,"N/A")=6,"Data Ready",IF(AND(K24="Done",L24&lt;&gt;"Done"),"Data Requested",IF(COUNTIF(G24:L24,"In Progress")+COUNTIF(G24:L24,"Done")&gt;0,"Discovery","Backlog"))))</f>
        <v/>
      </c>
      <c r="O24" s="36" t="n"/>
      <c r="P24" s="36" t="n"/>
      <c r="Q24" s="36" t="n"/>
      <c r="R24" s="36" t="n"/>
      <c r="S24" s="37" t="n"/>
      <c r="T24" s="37" t="n"/>
      <c r="U24" s="37" t="n"/>
    </row>
    <row r="25" ht="44.45" customHeight="1" s="121">
      <c r="A25" s="4" t="n">
        <v>22</v>
      </c>
      <c r="B25" s="30" t="n"/>
      <c r="C25" s="1" t="n"/>
      <c r="D25" s="38" t="n"/>
      <c r="E25" s="1" t="n"/>
      <c r="F25" s="33" t="inlineStr">
        <is>
          <t>Steve</t>
        </is>
      </c>
      <c r="G25" s="40" t="inlineStr">
        <is>
          <t>Not Started</t>
        </is>
      </c>
      <c r="H25" s="40" t="inlineStr">
        <is>
          <t>Not Started</t>
        </is>
      </c>
      <c r="I25" s="40" t="inlineStr">
        <is>
          <t>Not Started</t>
        </is>
      </c>
      <c r="J25" s="34" t="inlineStr">
        <is>
          <t>Not Started</t>
        </is>
      </c>
      <c r="K25" s="34" t="inlineStr">
        <is>
          <t>Not Started</t>
        </is>
      </c>
      <c r="L25" s="34" t="inlineStr">
        <is>
          <t>Not Started</t>
        </is>
      </c>
      <c r="M25" s="35">
        <f>IFERROR(COUNTIF(G25:L25,"Done")/(6-COUNTIF(G25:L25,"N/A")),0)</f>
        <v/>
      </c>
      <c r="N25" s="4">
        <f>IF(COUNTIF(G25:L25,"Blocked")&gt;0,"Blocked",IF(COUNTIF(G25:L25,"Done")+COUNTIF(G25:L25,"N/A")=6,"Data Ready",IF(AND(K25="Done",L25&lt;&gt;"Done"),"Data Requested",IF(COUNTIF(G25:L25,"In Progress")+COUNTIF(G25:L25,"Done")&gt;0,"Discovery","Backlog"))))</f>
        <v/>
      </c>
      <c r="O25" s="36" t="n"/>
      <c r="P25" s="36" t="n"/>
      <c r="Q25" s="36" t="n"/>
      <c r="R25" s="36" t="n"/>
      <c r="S25" s="37" t="n"/>
      <c r="T25" s="37" t="n"/>
      <c r="U25" s="37" t="n"/>
    </row>
    <row r="26" ht="44.45" customHeight="1" s="121">
      <c r="A26" s="31" t="n">
        <v>23</v>
      </c>
      <c r="B26" s="27" t="n"/>
      <c r="C26" s="28" t="n"/>
      <c r="D26" s="32" t="n"/>
      <c r="E26" s="28" t="n"/>
      <c r="F26" s="33" t="inlineStr">
        <is>
          <t>Steve</t>
        </is>
      </c>
      <c r="G26" s="40" t="inlineStr">
        <is>
          <t>Not Started</t>
        </is>
      </c>
      <c r="H26" s="40" t="inlineStr">
        <is>
          <t>Not Started</t>
        </is>
      </c>
      <c r="I26" s="40" t="inlineStr">
        <is>
          <t>Not Started</t>
        </is>
      </c>
      <c r="J26" s="34" t="inlineStr">
        <is>
          <t>Not Started</t>
        </is>
      </c>
      <c r="K26" s="34" t="inlineStr">
        <is>
          <t>Not Started</t>
        </is>
      </c>
      <c r="L26" s="34" t="inlineStr">
        <is>
          <t>Not Started</t>
        </is>
      </c>
      <c r="M26" s="35">
        <f>IFERROR(COUNTIF(G26:L26,"Done")/(6-COUNTIF(G26:L26,"N/A")),0)</f>
        <v/>
      </c>
      <c r="N26" s="4">
        <f>IF(COUNTIF(G26:L26,"Blocked")&gt;0,"Blocked",IF(COUNTIF(G26:L26,"Done")+COUNTIF(G26:L26,"N/A")=6,"Data Ready",IF(AND(K26="Done",L26&lt;&gt;"Done"),"Data Requested",IF(COUNTIF(G26:L26,"In Progress")+COUNTIF(G26:L26,"Done")&gt;0,"Discovery","Backlog"))))</f>
        <v/>
      </c>
      <c r="O26" s="36" t="n"/>
      <c r="P26" s="36" t="n"/>
      <c r="Q26" s="36" t="n"/>
      <c r="R26" s="36" t="n"/>
      <c r="S26" s="37" t="n"/>
      <c r="T26" s="37" t="n"/>
      <c r="U26" s="37" t="n"/>
    </row>
    <row r="27" ht="44.45" customHeight="1" s="121">
      <c r="A27" s="4" t="n">
        <v>24</v>
      </c>
      <c r="B27" s="30" t="n"/>
      <c r="C27" s="1" t="n"/>
      <c r="D27" s="38" t="n"/>
      <c r="E27" s="1" t="n"/>
      <c r="F27" s="33" t="inlineStr">
        <is>
          <t>Steve</t>
        </is>
      </c>
      <c r="G27" s="40" t="inlineStr">
        <is>
          <t>Not Started</t>
        </is>
      </c>
      <c r="H27" s="40" t="inlineStr">
        <is>
          <t>Not Started</t>
        </is>
      </c>
      <c r="I27" s="40" t="inlineStr">
        <is>
          <t>Not Started</t>
        </is>
      </c>
      <c r="J27" s="34" t="inlineStr">
        <is>
          <t>Not Started</t>
        </is>
      </c>
      <c r="K27" s="34" t="inlineStr">
        <is>
          <t>Not Started</t>
        </is>
      </c>
      <c r="L27" s="34" t="inlineStr">
        <is>
          <t>Not Started</t>
        </is>
      </c>
      <c r="M27" s="35">
        <f>IFERROR(COUNTIF(G27:L27,"Done")/(6-COUNTIF(G27:L27,"N/A")),0)</f>
        <v/>
      </c>
      <c r="N27" s="4">
        <f>IF(COUNTIF(G27:L27,"Blocked")&gt;0,"Blocked",IF(COUNTIF(G27:L27,"Done")+COUNTIF(G27:L27,"N/A")=6,"Data Ready",IF(AND(K27="Done",L27&lt;&gt;"Done"),"Data Requested",IF(COUNTIF(G27:L27,"In Progress")+COUNTIF(G27:L27,"Done")&gt;0,"Discovery","Backlog"))))</f>
        <v/>
      </c>
      <c r="O27" s="36" t="n"/>
      <c r="P27" s="36" t="n"/>
      <c r="Q27" s="36" t="n"/>
      <c r="R27" s="36" t="n"/>
      <c r="S27" s="37" t="n"/>
      <c r="T27" s="37" t="n"/>
      <c r="U27" s="37" t="n"/>
    </row>
    <row r="28" ht="44.45" customHeight="1" s="121">
      <c r="A28" s="31" t="n">
        <v>25</v>
      </c>
      <c r="B28" s="27" t="n"/>
      <c r="C28" s="28" t="n"/>
      <c r="D28" s="32" t="n"/>
      <c r="E28" s="28" t="n"/>
      <c r="F28" s="33" t="inlineStr">
        <is>
          <t>Steve</t>
        </is>
      </c>
      <c r="G28" s="40" t="inlineStr">
        <is>
          <t>Not Started</t>
        </is>
      </c>
      <c r="H28" s="40" t="inlineStr">
        <is>
          <t>Not Started</t>
        </is>
      </c>
      <c r="I28" s="40" t="inlineStr">
        <is>
          <t>Not Started</t>
        </is>
      </c>
      <c r="J28" s="34" t="inlineStr">
        <is>
          <t>Not Started</t>
        </is>
      </c>
      <c r="K28" s="34" t="inlineStr">
        <is>
          <t>Not Started</t>
        </is>
      </c>
      <c r="L28" s="34" t="inlineStr">
        <is>
          <t>Not Started</t>
        </is>
      </c>
      <c r="M28" s="35">
        <f>IFERROR(COUNTIF(G28:L28,"Done")/(6-COUNTIF(G28:L28,"N/A")),0)</f>
        <v/>
      </c>
      <c r="N28" s="4">
        <f>IF(COUNTIF(G28:L28,"Blocked")&gt;0,"Blocked",IF(COUNTIF(G28:L28,"Done")+COUNTIF(G28:L28,"N/A")=6,"Data Ready",IF(AND(K28="Done",L28&lt;&gt;"Done"),"Data Requested",IF(COUNTIF(G28:L28,"In Progress")+COUNTIF(G28:L28,"Done")&gt;0,"Discovery","Backlog"))))</f>
        <v/>
      </c>
      <c r="O28" s="36" t="n"/>
      <c r="P28" s="36" t="n"/>
      <c r="Q28" s="36" t="n"/>
      <c r="R28" s="36" t="n"/>
      <c r="S28" s="37" t="n"/>
      <c r="T28" s="37" t="n"/>
      <c r="U28" s="37" t="n"/>
    </row>
    <row r="29" ht="44.45" customHeight="1" s="121">
      <c r="A29" s="4" t="n">
        <v>26</v>
      </c>
      <c r="B29" s="30" t="n"/>
      <c r="C29" s="1" t="n"/>
      <c r="D29" s="38" t="n"/>
      <c r="E29" s="1" t="n"/>
      <c r="F29" s="33" t="inlineStr">
        <is>
          <t>Steve</t>
        </is>
      </c>
      <c r="G29" s="40" t="inlineStr">
        <is>
          <t>Not Started</t>
        </is>
      </c>
      <c r="H29" s="40" t="inlineStr">
        <is>
          <t>Not Started</t>
        </is>
      </c>
      <c r="I29" s="40" t="inlineStr">
        <is>
          <t>Not Started</t>
        </is>
      </c>
      <c r="J29" s="34" t="inlineStr">
        <is>
          <t>Not Started</t>
        </is>
      </c>
      <c r="K29" s="34" t="inlineStr">
        <is>
          <t>Not Started</t>
        </is>
      </c>
      <c r="L29" s="34" t="inlineStr">
        <is>
          <t>Not Started</t>
        </is>
      </c>
      <c r="M29" s="35">
        <f>IFERROR(COUNTIF(G29:L29,"Done")/(6-COUNTIF(G29:L29,"N/A")),0)</f>
        <v/>
      </c>
      <c r="N29" s="4">
        <f>IF(COUNTIF(G29:L29,"Blocked")&gt;0,"Blocked",IF(COUNTIF(G29:L29,"Done")+COUNTIF(G29:L29,"N/A")=6,"Data Ready",IF(AND(K29="Done",L29&lt;&gt;"Done"),"Data Requested",IF(COUNTIF(G29:L29,"In Progress")+COUNTIF(G29:L29,"Done")&gt;0,"Discovery","Backlog"))))</f>
        <v/>
      </c>
      <c r="O29" s="36" t="n"/>
      <c r="P29" s="36" t="n"/>
      <c r="Q29" s="36" t="n"/>
      <c r="R29" s="36" t="n"/>
      <c r="S29" s="37" t="n"/>
      <c r="T29" s="37" t="n"/>
      <c r="U29" s="37" t="n"/>
    </row>
    <row r="30" ht="44.45" customHeight="1" s="121">
      <c r="A30" s="31" t="n">
        <v>27</v>
      </c>
      <c r="B30" s="27" t="n"/>
      <c r="C30" s="28" t="n"/>
      <c r="D30" s="32" t="n"/>
      <c r="E30" s="28" t="n"/>
      <c r="F30" s="33" t="inlineStr">
        <is>
          <t>Eddie</t>
        </is>
      </c>
      <c r="G30" s="40" t="inlineStr">
        <is>
          <t>Not Started</t>
        </is>
      </c>
      <c r="H30" s="40" t="inlineStr">
        <is>
          <t>Not Started</t>
        </is>
      </c>
      <c r="I30" s="40" t="inlineStr">
        <is>
          <t>Not Started</t>
        </is>
      </c>
      <c r="J30" s="34" t="inlineStr">
        <is>
          <t>Not Started</t>
        </is>
      </c>
      <c r="K30" s="34" t="inlineStr">
        <is>
          <t>Not Started</t>
        </is>
      </c>
      <c r="L30" s="34" t="inlineStr">
        <is>
          <t>Not Started</t>
        </is>
      </c>
      <c r="M30" s="35">
        <f>IFERROR(COUNTIF(G30:L30,"Done")/(6-COUNTIF(G30:L30,"N/A")),0)</f>
        <v/>
      </c>
      <c r="N30" s="4">
        <f>IF(COUNTIF(G30:L30,"Blocked")&gt;0,"Blocked",IF(COUNTIF(G30:L30,"Done")+COUNTIF(G30:L30,"N/A")=6,"Data Ready",IF(AND(K30="Done",L30&lt;&gt;"Done"),"Data Requested",IF(COUNTIF(G30:L30,"In Progress")+COUNTIF(G30:L30,"Done")&gt;0,"Discovery","Backlog"))))</f>
        <v/>
      </c>
      <c r="O30" s="36" t="n"/>
      <c r="P30" s="36" t="n"/>
      <c r="Q30" s="36" t="n"/>
      <c r="R30" s="36" t="n"/>
      <c r="S30" s="37" t="n"/>
      <c r="T30" s="37" t="n"/>
      <c r="U30" s="37" t="n"/>
    </row>
    <row r="31" ht="44.45" customHeight="1" s="121">
      <c r="A31" s="4" t="n">
        <v>28</v>
      </c>
      <c r="B31" s="30" t="n"/>
      <c r="C31" s="1" t="n"/>
      <c r="D31" s="38" t="n"/>
      <c r="F31" s="33" t="inlineStr">
        <is>
          <t>Eddie</t>
        </is>
      </c>
      <c r="G31" s="40" t="inlineStr">
        <is>
          <t>Not Started</t>
        </is>
      </c>
      <c r="H31" s="40" t="inlineStr">
        <is>
          <t>Not Started</t>
        </is>
      </c>
      <c r="I31" s="40" t="inlineStr">
        <is>
          <t>Not Started</t>
        </is>
      </c>
      <c r="J31" s="34" t="inlineStr">
        <is>
          <t>Not Started</t>
        </is>
      </c>
      <c r="K31" s="34" t="inlineStr">
        <is>
          <t>Not Started</t>
        </is>
      </c>
      <c r="L31" s="34" t="inlineStr">
        <is>
          <t>Not Started</t>
        </is>
      </c>
      <c r="M31" s="35">
        <f>IFERROR(COUNTIF(G31:L31,"Done")/(6-COUNTIF(G31:L31,"N/A")),0)</f>
        <v/>
      </c>
      <c r="N31" s="4">
        <f>IF(COUNTIF(G31:L31,"Blocked")&gt;0,"Blocked",IF(COUNTIF(G31:L31,"Done")+COUNTIF(G31:L31,"N/A")=6,"Data Ready",IF(AND(K31="Done",L31&lt;&gt;"Done"),"Data Requested",IF(COUNTIF(G31:L31,"In Progress")+COUNTIF(G31:L31,"Done")&gt;0,"Discovery","Backlog"))))</f>
        <v/>
      </c>
      <c r="O31" s="36" t="n"/>
      <c r="P31" s="36" t="n"/>
      <c r="Q31" s="36" t="n"/>
      <c r="R31" s="36" t="n"/>
      <c r="S31" s="37" t="n"/>
      <c r="T31" s="37" t="n"/>
      <c r="U31" s="37" t="n"/>
    </row>
    <row r="32" ht="44.45" customHeight="1" s="121">
      <c r="A32" s="31" t="n">
        <v>29</v>
      </c>
      <c r="B32" s="27" t="n"/>
      <c r="C32" s="28" t="n"/>
      <c r="D32" s="32" t="n"/>
      <c r="E32" s="28" t="n"/>
      <c r="F32" s="33" t="inlineStr">
        <is>
          <t>Eddie</t>
        </is>
      </c>
      <c r="G32" s="40" t="inlineStr">
        <is>
          <t>Not Started</t>
        </is>
      </c>
      <c r="H32" s="40" t="inlineStr">
        <is>
          <t>Not Started</t>
        </is>
      </c>
      <c r="I32" s="40" t="inlineStr">
        <is>
          <t>Not Started</t>
        </is>
      </c>
      <c r="J32" s="34" t="inlineStr">
        <is>
          <t>Not Started</t>
        </is>
      </c>
      <c r="K32" s="34" t="inlineStr">
        <is>
          <t>Not Started</t>
        </is>
      </c>
      <c r="L32" s="34" t="inlineStr">
        <is>
          <t>Not Started</t>
        </is>
      </c>
      <c r="M32" s="35">
        <f>IFERROR(COUNTIF(G32:L32,"Done")/(6-COUNTIF(G32:L32,"N/A")),0)</f>
        <v/>
      </c>
      <c r="N32" s="4">
        <f>IF(COUNTIF(G32:L32,"Blocked")&gt;0,"Blocked",IF(COUNTIF(G32:L32,"Done")+COUNTIF(G32:L32,"N/A")=6,"Data Ready",IF(AND(K32="Done",L32&lt;&gt;"Done"),"Data Requested",IF(COUNTIF(G32:L32,"In Progress")+COUNTIF(G32:L32,"Done")&gt;0,"Discovery","Backlog"))))</f>
        <v/>
      </c>
      <c r="O32" s="36" t="n"/>
      <c r="P32" s="36" t="n"/>
      <c r="Q32" s="36" t="n"/>
      <c r="R32" s="36" t="n"/>
      <c r="S32" s="37" t="n"/>
      <c r="T32" s="37" t="n"/>
      <c r="U32" s="37" t="n"/>
    </row>
    <row r="33" ht="44.45" customHeight="1" s="121">
      <c r="A33" s="4" t="n">
        <v>30</v>
      </c>
      <c r="B33" s="30" t="n"/>
      <c r="C33" s="1" t="n"/>
      <c r="D33" s="38" t="n"/>
      <c r="E33" s="1" t="n"/>
      <c r="F33" s="33" t="inlineStr">
        <is>
          <t>Eddie</t>
        </is>
      </c>
      <c r="G33" s="40" t="inlineStr">
        <is>
          <t>Not Started</t>
        </is>
      </c>
      <c r="H33" s="40" t="inlineStr">
        <is>
          <t>Not Started</t>
        </is>
      </c>
      <c r="I33" s="40" t="inlineStr">
        <is>
          <t>Not Started</t>
        </is>
      </c>
      <c r="J33" s="34" t="inlineStr">
        <is>
          <t>Not Started</t>
        </is>
      </c>
      <c r="K33" s="34" t="inlineStr">
        <is>
          <t>Not Started</t>
        </is>
      </c>
      <c r="L33" s="34" t="inlineStr">
        <is>
          <t>Not Started</t>
        </is>
      </c>
      <c r="M33" s="35">
        <f>IFERROR(COUNTIF(G33:L33,"Done")/(6-COUNTIF(G33:L33,"N/A")),0)</f>
        <v/>
      </c>
      <c r="N33" s="4">
        <f>IF(COUNTIF(G33:L33,"Blocked")&gt;0,"Blocked",IF(COUNTIF(G33:L33,"Done")+COUNTIF(G33:L33,"N/A")=6,"Data Ready",IF(AND(K33="Done",L33&lt;&gt;"Done"),"Data Requested",IF(COUNTIF(G33:L33,"In Progress")+COUNTIF(G33:L33,"Done")&gt;0,"Discovery","Backlog"))))</f>
        <v/>
      </c>
      <c r="O33" s="36" t="n"/>
      <c r="P33" s="36" t="n"/>
      <c r="Q33" s="36" t="n"/>
      <c r="R33" s="36" t="n"/>
      <c r="S33" s="37" t="n"/>
      <c r="T33" s="37" t="n"/>
      <c r="U33" s="37" t="n"/>
    </row>
    <row r="34" ht="44.45" customHeight="1" s="121">
      <c r="A34" s="31" t="n">
        <v>31</v>
      </c>
      <c r="B34" s="27" t="n"/>
      <c r="C34" s="28" t="n"/>
      <c r="D34" s="32" t="n"/>
      <c r="E34" s="28" t="n"/>
      <c r="F34" s="33" t="inlineStr">
        <is>
          <t>Eddie</t>
        </is>
      </c>
      <c r="G34" s="40" t="inlineStr">
        <is>
          <t>Not Started</t>
        </is>
      </c>
      <c r="H34" s="40" t="inlineStr">
        <is>
          <t>Not Started</t>
        </is>
      </c>
      <c r="I34" s="40" t="inlineStr">
        <is>
          <t>Not Started</t>
        </is>
      </c>
      <c r="J34" s="34" t="inlineStr">
        <is>
          <t>Not Started</t>
        </is>
      </c>
      <c r="K34" s="34" t="inlineStr">
        <is>
          <t>Not Started</t>
        </is>
      </c>
      <c r="L34" s="34" t="inlineStr">
        <is>
          <t>Not Started</t>
        </is>
      </c>
      <c r="M34" s="35">
        <f>IFERROR(COUNTIF(G34:L34,"Done")/(6-COUNTIF(G34:L34,"N/A")),0)</f>
        <v/>
      </c>
      <c r="N34" s="4">
        <f>IF(COUNTIF(G34:L34,"Blocked")&gt;0,"Blocked",IF(COUNTIF(G34:L34,"Done")+COUNTIF(G34:L34,"N/A")=6,"Data Ready",IF(AND(K34="Done",L34&lt;&gt;"Done"),"Data Requested",IF(COUNTIF(G34:L34,"In Progress")+COUNTIF(G34:L34,"Done")&gt;0,"Discovery","Backlog"))))</f>
        <v/>
      </c>
      <c r="O34" s="36" t="n"/>
      <c r="P34" s="36" t="n"/>
      <c r="Q34" s="36" t="n"/>
      <c r="R34" s="36" t="n"/>
      <c r="S34" s="37" t="n"/>
      <c r="T34" s="37" t="n"/>
      <c r="U34" s="36" t="n"/>
    </row>
    <row r="35" ht="44.45" customHeight="1" s="121">
      <c r="A35" s="4" t="n">
        <v>32</v>
      </c>
      <c r="B35" s="30" t="n"/>
      <c r="C35" s="1" t="n"/>
      <c r="D35" s="38" t="n"/>
      <c r="E35" s="1" t="n"/>
      <c r="F35" s="33" t="inlineStr">
        <is>
          <t>Eddie</t>
        </is>
      </c>
      <c r="G35" s="40" t="inlineStr">
        <is>
          <t>Not Started</t>
        </is>
      </c>
      <c r="H35" s="40" t="inlineStr">
        <is>
          <t>Not Started</t>
        </is>
      </c>
      <c r="I35" s="40" t="inlineStr">
        <is>
          <t>Not Started</t>
        </is>
      </c>
      <c r="J35" s="34" t="inlineStr">
        <is>
          <t>Not Started</t>
        </is>
      </c>
      <c r="K35" s="34" t="inlineStr">
        <is>
          <t>Not Started</t>
        </is>
      </c>
      <c r="L35" s="34" t="inlineStr">
        <is>
          <t>Not Started</t>
        </is>
      </c>
      <c r="M35" s="35">
        <f>IFERROR(COUNTIF(G35:L35,"Done")/(6-COUNTIF(G35:L35,"N/A")),0)</f>
        <v/>
      </c>
      <c r="N35" s="4">
        <f>IF(COUNTIF(G35:L35,"Blocked")&gt;0,"Blocked",IF(COUNTIF(G35:L35,"Done")+COUNTIF(G35:L35,"N/A")=6,"Data Ready",IF(AND(K35="Done",L35&lt;&gt;"Done"),"Data Requested",IF(COUNTIF(G35:L35,"In Progress")+COUNTIF(G35:L35,"Done")&gt;0,"Discovery","Backlog"))))</f>
        <v/>
      </c>
      <c r="O35" s="36" t="n"/>
      <c r="P35" s="36" t="n"/>
      <c r="Q35" s="36" t="n"/>
      <c r="R35" s="36" t="n"/>
      <c r="S35" s="37" t="n"/>
      <c r="T35" s="37" t="n"/>
      <c r="U35" s="37" t="n"/>
    </row>
    <row r="36" ht="44.45" customHeight="1" s="121">
      <c r="A36" s="31" t="n">
        <v>33</v>
      </c>
      <c r="B36" s="27" t="n"/>
      <c r="C36" s="28" t="n"/>
      <c r="D36" s="32" t="n"/>
      <c r="E36" s="28" t="n"/>
      <c r="F36" s="33" t="inlineStr">
        <is>
          <t>Eddie</t>
        </is>
      </c>
      <c r="G36" s="40" t="inlineStr">
        <is>
          <t>Not Started</t>
        </is>
      </c>
      <c r="H36" s="40" t="inlineStr">
        <is>
          <t>Not Started</t>
        </is>
      </c>
      <c r="I36" s="40" t="inlineStr">
        <is>
          <t>Not Started</t>
        </is>
      </c>
      <c r="J36" s="34" t="inlineStr">
        <is>
          <t>Not Started</t>
        </is>
      </c>
      <c r="K36" s="34" t="inlineStr">
        <is>
          <t>Not Started</t>
        </is>
      </c>
      <c r="L36" s="34" t="inlineStr">
        <is>
          <t>Not Started</t>
        </is>
      </c>
      <c r="M36" s="35">
        <f>IFERROR(COUNTIF(G36:L36,"Done")/(6-COUNTIF(G36:L36,"N/A")),0)</f>
        <v/>
      </c>
      <c r="N36" s="4">
        <f>IF(COUNTIF(G36:L36,"Blocked")&gt;0,"Blocked",IF(COUNTIF(G36:L36,"Done")+COUNTIF(G36:L36,"N/A")=6,"Data Ready",IF(AND(K36="Done",L36&lt;&gt;"Done"),"Data Requested",IF(COUNTIF(G36:L36,"In Progress")+COUNTIF(G36:L36,"Done")&gt;0,"Discovery","Backlog"))))</f>
        <v/>
      </c>
      <c r="O36" s="36" t="n"/>
      <c r="P36" s="36" t="n"/>
      <c r="Q36" s="36" t="n"/>
      <c r="R36" s="36" t="n"/>
      <c r="S36" s="37" t="n"/>
      <c r="T36" s="37" t="n"/>
      <c r="U36" s="37" t="n"/>
    </row>
    <row r="37" ht="44.45" customHeight="1" s="121">
      <c r="A37" s="4" t="n">
        <v>34</v>
      </c>
      <c r="B37" s="30" t="n"/>
      <c r="C37" s="1" t="n"/>
      <c r="D37" s="38" t="n"/>
      <c r="E37" s="1" t="n"/>
      <c r="F37" s="33" t="inlineStr">
        <is>
          <t>Eddie</t>
        </is>
      </c>
      <c r="G37" s="40" t="inlineStr">
        <is>
          <t>Not Started</t>
        </is>
      </c>
      <c r="H37" s="40" t="inlineStr">
        <is>
          <t>Not Started</t>
        </is>
      </c>
      <c r="I37" s="40" t="inlineStr">
        <is>
          <t>Not Started</t>
        </is>
      </c>
      <c r="J37" s="34" t="inlineStr">
        <is>
          <t>Not Started</t>
        </is>
      </c>
      <c r="K37" s="34" t="inlineStr">
        <is>
          <t>Not Started</t>
        </is>
      </c>
      <c r="L37" s="34" t="inlineStr">
        <is>
          <t>Not Started</t>
        </is>
      </c>
      <c r="M37" s="35">
        <f>IFERROR(COUNTIF(G37:L37,"Done")/(6-COUNTIF(G37:L37,"N/A")),0)</f>
        <v/>
      </c>
      <c r="N37" s="4">
        <f>IF(COUNTIF(G37:L37,"Blocked")&gt;0,"Blocked",IF(COUNTIF(G37:L37,"Done")+COUNTIF(G37:L37,"N/A")=6,"Data Ready",IF(AND(K37="Done",L37&lt;&gt;"Done"),"Data Requested",IF(COUNTIF(G37:L37,"In Progress")+COUNTIF(G37:L37,"Done")&gt;0,"Discovery","Backlog"))))</f>
        <v/>
      </c>
      <c r="O37" s="36" t="n"/>
      <c r="P37" s="36" t="n"/>
      <c r="Q37" s="36" t="n"/>
      <c r="R37" s="36" t="n"/>
      <c r="S37" s="37" t="n"/>
      <c r="T37" s="37" t="n"/>
      <c r="U37" s="37" t="n"/>
    </row>
    <row r="38" ht="15.75" customHeight="1" s="121"/>
    <row r="39" ht="15.75" customHeight="1" s="121"/>
    <row r="40" ht="15.75" customHeight="1" s="121"/>
    <row r="41" ht="15.75" customHeight="1" s="121"/>
    <row r="42" ht="15.75" customHeight="1" s="121"/>
    <row r="43" ht="15.75" customHeight="1" s="121"/>
    <row r="44" ht="15.75" customHeight="1" s="121"/>
    <row r="45" ht="15.75" customHeight="1" s="121"/>
    <row r="46" ht="15.75" customHeight="1" s="121"/>
    <row r="47" ht="15.75" customHeight="1" s="121"/>
    <row r="48" ht="15.75" customHeight="1" s="121"/>
    <row r="49" ht="15.75" customHeight="1" s="121"/>
    <row r="50" ht="15.75" customHeight="1" s="121"/>
    <row r="51" ht="15.75" customHeight="1" s="121"/>
    <row r="52" ht="15.75" customHeight="1" s="121"/>
    <row r="53" ht="15.75" customHeight="1" s="121"/>
    <row r="54" ht="15.75" customHeight="1" s="121"/>
    <row r="55" ht="15.75" customHeight="1" s="121"/>
    <row r="56" ht="15.75" customHeight="1" s="121"/>
    <row r="57" ht="15.75" customHeight="1" s="121"/>
    <row r="58" ht="15.75" customHeight="1" s="121"/>
    <row r="59" ht="15.75" customHeight="1" s="121"/>
    <row r="60" ht="15.75" customHeight="1" s="121"/>
    <row r="61" ht="15.75" customHeight="1" s="121"/>
    <row r="62" ht="15.75" customHeight="1" s="121"/>
    <row r="63" ht="15.75" customHeight="1" s="121"/>
    <row r="64" ht="15.75" customHeight="1" s="121"/>
    <row r="65" ht="15.75" customHeight="1" s="121"/>
    <row r="66" ht="15.75" customHeight="1" s="121"/>
    <row r="67" ht="15.75" customHeight="1" s="121"/>
    <row r="68" ht="15.75" customHeight="1" s="121"/>
    <row r="69" ht="15.75" customHeight="1" s="121"/>
    <row r="70" ht="15.75" customHeight="1" s="121"/>
    <row r="71" ht="15.75" customHeight="1" s="121"/>
    <row r="72" ht="15.75" customHeight="1" s="121"/>
    <row r="73" ht="15.75" customHeight="1" s="121"/>
    <row r="74" ht="15.75" customHeight="1" s="121"/>
    <row r="75" ht="15.75" customHeight="1" s="121"/>
    <row r="76" ht="15.75" customHeight="1" s="121"/>
    <row r="77" ht="15.75" customHeight="1" s="121"/>
    <row r="78" ht="15.75" customHeight="1" s="121"/>
    <row r="79" ht="15.75" customHeight="1" s="121"/>
    <row r="80" ht="15.75" customHeight="1" s="121"/>
    <row r="81" ht="15.75" customHeight="1" s="121"/>
    <row r="82" ht="15.75" customHeight="1" s="121"/>
    <row r="83" ht="15.75" customHeight="1" s="121"/>
    <row r="84" ht="15.75" customHeight="1" s="121"/>
    <row r="85" ht="15.75" customHeight="1" s="121"/>
    <row r="86" ht="15.75" customHeight="1" s="121"/>
    <row r="87" ht="15.75" customHeight="1" s="121"/>
    <row r="88" ht="15.75" customHeight="1" s="121"/>
    <row r="89" ht="15.75" customHeight="1" s="121"/>
    <row r="90" ht="15.75" customHeight="1" s="121"/>
    <row r="91" ht="15.75" customHeight="1" s="121"/>
    <row r="92" ht="15.75" customHeight="1" s="121"/>
    <row r="93" ht="15.75" customHeight="1" s="121"/>
    <row r="94" ht="15.75" customHeight="1" s="121"/>
    <row r="95" ht="15.75" customHeight="1" s="121"/>
    <row r="96" ht="15.75" customHeight="1" s="121"/>
    <row r="97" ht="15.75" customHeight="1" s="121"/>
    <row r="98" ht="15.75" customHeight="1" s="121"/>
    <row r="99" ht="15.75" customHeight="1" s="121"/>
    <row r="100" ht="15.75" customHeight="1" s="121"/>
    <row r="101" ht="15.75" customHeight="1" s="121"/>
    <row r="102" ht="15.75" customHeight="1" s="121"/>
    <row r="103" ht="15.75" customHeight="1" s="121"/>
    <row r="104" ht="15.75" customHeight="1" s="121"/>
    <row r="105" ht="15.75" customHeight="1" s="121"/>
    <row r="106" ht="15.75" customHeight="1" s="121"/>
    <row r="107" ht="15.75" customHeight="1" s="121"/>
    <row r="108" ht="15.75" customHeight="1" s="121"/>
    <row r="109" ht="15.75" customHeight="1" s="121"/>
    <row r="110" ht="15.75" customHeight="1" s="121"/>
    <row r="111" ht="15.75" customHeight="1" s="121"/>
    <row r="112" ht="15.75" customHeight="1" s="121"/>
    <row r="113" ht="15.75" customHeight="1" s="121"/>
    <row r="114" ht="15.75" customHeight="1" s="121"/>
    <row r="115" ht="15.75" customHeight="1" s="121"/>
    <row r="116" ht="15.75" customHeight="1" s="121"/>
    <row r="117" ht="15.75" customHeight="1" s="121"/>
    <row r="118" ht="15.75" customHeight="1" s="121"/>
    <row r="119" ht="15.75" customHeight="1" s="121"/>
    <row r="120" ht="15.75" customHeight="1" s="121"/>
    <row r="121" ht="15.75" customHeight="1" s="121"/>
    <row r="122" ht="15.75" customHeight="1" s="121"/>
    <row r="123" ht="15.75" customHeight="1" s="121"/>
    <row r="124" ht="15.75" customHeight="1" s="121"/>
    <row r="125" ht="15.75" customHeight="1" s="121"/>
    <row r="126" ht="15.75" customHeight="1" s="121"/>
    <row r="127" ht="15.75" customHeight="1" s="121"/>
    <row r="128" ht="15.75" customHeight="1" s="121"/>
    <row r="129" ht="15.75" customHeight="1" s="121"/>
    <row r="130" ht="15.75" customHeight="1" s="121"/>
    <row r="131" ht="15.75" customHeight="1" s="121"/>
    <row r="132" ht="15.75" customHeight="1" s="121"/>
    <row r="133" ht="15.75" customHeight="1" s="121"/>
    <row r="134" ht="15.75" customHeight="1" s="121"/>
    <row r="135" ht="15.75" customHeight="1" s="121"/>
    <row r="136" ht="15.75" customHeight="1" s="121"/>
    <row r="137" ht="15.75" customHeight="1" s="121"/>
    <row r="138" ht="15.75" customHeight="1" s="121"/>
    <row r="139" ht="15.75" customHeight="1" s="121"/>
    <row r="140" ht="15.75" customHeight="1" s="121"/>
    <row r="141" ht="15.75" customHeight="1" s="121"/>
    <row r="142" ht="15.75" customHeight="1" s="121"/>
    <row r="143" ht="15.75" customHeight="1" s="121"/>
    <row r="144" ht="15.75" customHeight="1" s="121"/>
    <row r="145" ht="15.75" customHeight="1" s="121"/>
    <row r="146" ht="15.75" customHeight="1" s="121"/>
    <row r="147" ht="15.75" customHeight="1" s="121"/>
    <row r="148" ht="15.75" customHeight="1" s="121"/>
    <row r="149" ht="15.75" customHeight="1" s="121"/>
    <row r="150" ht="15.75" customHeight="1" s="121"/>
    <row r="151" ht="15.75" customHeight="1" s="121"/>
    <row r="152" ht="15.75" customHeight="1" s="121"/>
    <row r="153" ht="15.75" customHeight="1" s="121"/>
    <row r="154" ht="15.75" customHeight="1" s="121"/>
    <row r="155" ht="15.75" customHeight="1" s="121"/>
    <row r="156" ht="15.75" customHeight="1" s="121"/>
    <row r="157" ht="15.75" customHeight="1" s="121"/>
    <row r="158" ht="15.75" customHeight="1" s="121"/>
    <row r="159" ht="15.75" customHeight="1" s="121"/>
    <row r="160" ht="15.75" customHeight="1" s="121"/>
    <row r="161" ht="15.75" customHeight="1" s="121"/>
    <row r="162" ht="15.75" customHeight="1" s="121"/>
    <row r="163" ht="15.75" customHeight="1" s="121"/>
    <row r="164" ht="15.75" customHeight="1" s="121"/>
    <row r="165" ht="15.75" customHeight="1" s="121"/>
    <row r="166" ht="15.75" customHeight="1" s="121"/>
    <row r="167" ht="15.75" customHeight="1" s="121"/>
    <row r="168" ht="15.75" customHeight="1" s="121"/>
    <row r="169" ht="15.75" customHeight="1" s="121"/>
    <row r="170" ht="15.75" customHeight="1" s="121"/>
    <row r="171" ht="15.75" customHeight="1" s="121"/>
    <row r="172" ht="15.75" customHeight="1" s="121"/>
    <row r="173" ht="15.75" customHeight="1" s="121"/>
    <row r="174" ht="15.75" customHeight="1" s="121"/>
    <row r="175" ht="15.75" customHeight="1" s="121"/>
    <row r="176" ht="15.75" customHeight="1" s="121"/>
    <row r="177" ht="15.75" customHeight="1" s="121"/>
    <row r="178" ht="15.75" customHeight="1" s="121"/>
    <row r="179" ht="15.75" customHeight="1" s="121"/>
    <row r="180" ht="15.75" customHeight="1" s="121"/>
    <row r="181" ht="15.75" customHeight="1" s="121"/>
    <row r="182" ht="15.75" customHeight="1" s="121"/>
    <row r="183" ht="15.75" customHeight="1" s="121"/>
    <row r="184" ht="15.75" customHeight="1" s="121"/>
    <row r="185" ht="15.75" customHeight="1" s="121"/>
    <row r="186" ht="15.75" customHeight="1" s="121"/>
    <row r="187" ht="15.75" customHeight="1" s="121"/>
    <row r="188" ht="15.75" customHeight="1" s="121"/>
    <row r="189" ht="15.75" customHeight="1" s="121"/>
    <row r="190" ht="15.75" customHeight="1" s="121"/>
    <row r="191" ht="15.75" customHeight="1" s="121"/>
    <row r="192" ht="15.75" customHeight="1" s="121"/>
    <row r="193" ht="15.75" customHeight="1" s="121"/>
    <row r="194" ht="15.75" customHeight="1" s="121"/>
    <row r="195" ht="15.75" customHeight="1" s="121"/>
    <row r="196" ht="15.75" customHeight="1" s="121"/>
    <row r="197" ht="15.75" customHeight="1" s="121"/>
    <row r="198" ht="15.75" customHeight="1" s="121"/>
    <row r="199" ht="15.75" customHeight="1" s="121"/>
    <row r="200" ht="15.75" customHeight="1" s="121"/>
    <row r="201" ht="15.75" customHeight="1" s="121"/>
    <row r="202" ht="15.75" customHeight="1" s="121"/>
    <row r="203" ht="15.75" customHeight="1" s="121"/>
    <row r="204" ht="15.75" customHeight="1" s="121"/>
    <row r="205" ht="15.75" customHeight="1" s="121"/>
    <row r="206" ht="15.75" customHeight="1" s="121"/>
    <row r="207" ht="15.75" customHeight="1" s="121"/>
    <row r="208" ht="15.75" customHeight="1" s="121"/>
    <row r="209" ht="15.75" customHeight="1" s="121"/>
    <row r="210" ht="15.75" customHeight="1" s="121"/>
    <row r="211" ht="15.75" customHeight="1" s="121"/>
    <row r="212" ht="15.75" customHeight="1" s="121"/>
    <row r="213" ht="15.75" customHeight="1" s="121"/>
    <row r="214" ht="15.75" customHeight="1" s="121"/>
    <row r="215" ht="15.75" customHeight="1" s="121"/>
    <row r="216" ht="15.75" customHeight="1" s="121"/>
    <row r="217" ht="15.75" customHeight="1" s="121"/>
    <row r="218" ht="15.75" customHeight="1" s="121"/>
    <row r="219" ht="15.75" customHeight="1" s="121"/>
    <row r="220" ht="15.75" customHeight="1" s="121"/>
    <row r="221" ht="15.75" customHeight="1" s="121"/>
    <row r="222" ht="15.75" customHeight="1" s="121"/>
    <row r="223" ht="15.75" customHeight="1" s="121"/>
    <row r="224" ht="15.75" customHeight="1" s="121"/>
    <row r="225" ht="15.75" customHeight="1" s="121"/>
    <row r="226" ht="15.75" customHeight="1" s="121"/>
    <row r="227" ht="15.75" customHeight="1" s="121"/>
    <row r="228" ht="15.75" customHeight="1" s="121"/>
    <row r="229" ht="15.75" customHeight="1" s="121"/>
    <row r="230" ht="15.75" customHeight="1" s="121"/>
    <row r="231" ht="15.75" customHeight="1" s="121"/>
    <row r="232" ht="15.75" customHeight="1" s="121"/>
    <row r="233" ht="15.75" customHeight="1" s="121"/>
    <row r="234" ht="15.75" customHeight="1" s="121"/>
    <row r="235" ht="15.75" customHeight="1" s="121"/>
    <row r="236" ht="15.75" customHeight="1" s="121"/>
    <row r="237" ht="15.75" customHeight="1" s="121"/>
    <row r="238" ht="15.75" customHeight="1" s="121"/>
    <row r="239" ht="15.75" customHeight="1" s="121"/>
    <row r="240" ht="15.75" customHeight="1" s="121"/>
    <row r="241" ht="15.75" customHeight="1" s="121"/>
    <row r="242" ht="15.75" customHeight="1" s="121"/>
    <row r="243" ht="15.75" customHeight="1" s="121"/>
    <row r="244" ht="15.75" customHeight="1" s="121"/>
    <row r="245" ht="15.75" customHeight="1" s="121"/>
    <row r="246" ht="15.75" customHeight="1" s="121"/>
    <row r="247" ht="15.75" customHeight="1" s="121"/>
    <row r="248" ht="15.75" customHeight="1" s="121"/>
    <row r="249" ht="15.75" customHeight="1" s="121"/>
    <row r="250" ht="15.75" customHeight="1" s="121"/>
    <row r="251" ht="15.75" customHeight="1" s="121"/>
    <row r="252" ht="15.75" customHeight="1" s="121"/>
    <row r="253" ht="15.75" customHeight="1" s="121"/>
    <row r="254" ht="15.75" customHeight="1" s="121"/>
    <row r="255" ht="15.75" customHeight="1" s="121"/>
    <row r="256" ht="15.75" customHeight="1" s="121"/>
    <row r="257" ht="15.75" customHeight="1" s="121"/>
    <row r="258" ht="15.75" customHeight="1" s="121"/>
    <row r="259" ht="15.75" customHeight="1" s="121"/>
    <row r="260" ht="15.75" customHeight="1" s="121"/>
    <row r="261" ht="15.75" customHeight="1" s="121"/>
    <row r="262" ht="15.75" customHeight="1" s="121"/>
    <row r="263" ht="15.75" customHeight="1" s="121"/>
    <row r="264" ht="15.75" customHeight="1" s="121"/>
    <row r="265" ht="15.75" customHeight="1" s="121"/>
    <row r="266" ht="15.75" customHeight="1" s="121"/>
    <row r="267" ht="15.75" customHeight="1" s="121"/>
    <row r="268" ht="15.75" customHeight="1" s="121"/>
    <row r="269" ht="15.75" customHeight="1" s="121"/>
    <row r="270" ht="15.75" customHeight="1" s="121"/>
    <row r="271" ht="15.75" customHeight="1" s="121"/>
    <row r="272" ht="15.75" customHeight="1" s="121"/>
    <row r="273" ht="15.75" customHeight="1" s="121"/>
    <row r="274" ht="15.75" customHeight="1" s="121"/>
    <row r="275" ht="15.75" customHeight="1" s="121"/>
    <row r="276" ht="15.75" customHeight="1" s="121"/>
    <row r="277" ht="15.75" customHeight="1" s="121"/>
    <row r="278" ht="15.75" customHeight="1" s="121"/>
    <row r="279" ht="15.75" customHeight="1" s="121"/>
    <row r="280" ht="15.75" customHeight="1" s="121"/>
    <row r="281" ht="15.75" customHeight="1" s="121"/>
    <row r="282" ht="15.75" customHeight="1" s="121"/>
    <row r="283" ht="15.75" customHeight="1" s="121"/>
    <row r="284" ht="15.75" customHeight="1" s="121"/>
    <row r="285" ht="15.75" customHeight="1" s="121"/>
    <row r="286" ht="15.75" customHeight="1" s="121"/>
    <row r="287" ht="15.75" customHeight="1" s="121"/>
    <row r="288" ht="15.75" customHeight="1" s="121"/>
    <row r="289" ht="15.75" customHeight="1" s="121"/>
    <row r="290" ht="15.75" customHeight="1" s="121"/>
    <row r="291" ht="15.75" customHeight="1" s="121"/>
    <row r="292" ht="15.75" customHeight="1" s="121"/>
    <row r="293" ht="15.75" customHeight="1" s="121"/>
    <row r="294" ht="15.75" customHeight="1" s="121"/>
    <row r="295" ht="15.75" customHeight="1" s="121"/>
    <row r="296" ht="15.75" customHeight="1" s="121"/>
    <row r="297" ht="15.75" customHeight="1" s="121"/>
    <row r="298" ht="15.75" customHeight="1" s="121"/>
    <row r="299" ht="15.75" customHeight="1" s="121"/>
    <row r="300" ht="15.75" customHeight="1" s="121"/>
    <row r="301" ht="15.75" customHeight="1" s="121"/>
    <row r="302" ht="15.75" customHeight="1" s="121"/>
    <row r="303" ht="15.75" customHeight="1" s="121"/>
    <row r="304" ht="15.75" customHeight="1" s="121"/>
    <row r="305" ht="15.75" customHeight="1" s="121"/>
    <row r="306" ht="15.75" customHeight="1" s="121"/>
    <row r="307" ht="15.75" customHeight="1" s="121"/>
    <row r="308" ht="15.75" customHeight="1" s="121"/>
    <row r="309" ht="15.75" customHeight="1" s="121"/>
    <row r="310" ht="15.75" customHeight="1" s="121"/>
    <row r="311" ht="15.75" customHeight="1" s="121"/>
    <row r="312" ht="15.75" customHeight="1" s="121"/>
    <row r="313" ht="15.75" customHeight="1" s="121"/>
    <row r="314" ht="15.75" customHeight="1" s="121"/>
    <row r="315" ht="15.75" customHeight="1" s="121"/>
    <row r="316" ht="15.75" customHeight="1" s="121"/>
    <row r="317" ht="15.75" customHeight="1" s="121"/>
    <row r="318" ht="15.75" customHeight="1" s="121"/>
    <row r="319" ht="15.75" customHeight="1" s="121"/>
    <row r="320" ht="15.75" customHeight="1" s="121"/>
    <row r="321" ht="15.75" customHeight="1" s="121"/>
    <row r="322" ht="15.75" customHeight="1" s="121"/>
    <row r="323" ht="15.75" customHeight="1" s="121"/>
    <row r="324" ht="15.75" customHeight="1" s="121"/>
    <row r="325" ht="15.75" customHeight="1" s="121"/>
    <row r="326" ht="15.75" customHeight="1" s="121"/>
    <row r="327" ht="15.75" customHeight="1" s="121"/>
    <row r="328" ht="15.75" customHeight="1" s="121"/>
    <row r="329" ht="15.75" customHeight="1" s="121"/>
    <row r="330" ht="15.75" customHeight="1" s="121"/>
    <row r="331" ht="15.75" customHeight="1" s="121"/>
    <row r="332" ht="15.75" customHeight="1" s="121"/>
    <row r="333" ht="15.75" customHeight="1" s="121"/>
    <row r="334" ht="15.75" customHeight="1" s="121"/>
    <row r="335" ht="15.75" customHeight="1" s="121"/>
    <row r="336" ht="15.75" customHeight="1" s="121"/>
    <row r="337" ht="15.75" customHeight="1" s="121"/>
    <row r="338" ht="15.75" customHeight="1" s="121"/>
    <row r="339" ht="15.75" customHeight="1" s="121"/>
    <row r="340" ht="15.75" customHeight="1" s="121"/>
    <row r="341" ht="15.75" customHeight="1" s="121"/>
    <row r="342" ht="15.75" customHeight="1" s="121"/>
    <row r="343" ht="15.75" customHeight="1" s="121"/>
    <row r="344" ht="15.75" customHeight="1" s="121"/>
    <row r="345" ht="15.75" customHeight="1" s="121"/>
    <row r="346" ht="15.75" customHeight="1" s="121"/>
    <row r="347" ht="15.75" customHeight="1" s="121"/>
    <row r="348" ht="15.75" customHeight="1" s="121"/>
    <row r="349" ht="15.75" customHeight="1" s="121"/>
    <row r="350" ht="15.75" customHeight="1" s="121"/>
    <row r="351" ht="15.75" customHeight="1" s="121"/>
    <row r="352" ht="15.75" customHeight="1" s="121"/>
    <row r="353" ht="15.75" customHeight="1" s="121"/>
    <row r="354" ht="15.75" customHeight="1" s="121"/>
    <row r="355" ht="15.75" customHeight="1" s="121"/>
    <row r="356" ht="15.75" customHeight="1" s="121"/>
    <row r="357" ht="15.75" customHeight="1" s="121"/>
    <row r="358" ht="15.75" customHeight="1" s="121"/>
    <row r="359" ht="15.75" customHeight="1" s="121"/>
    <row r="360" ht="15.75" customHeight="1" s="121"/>
    <row r="361" ht="15.75" customHeight="1" s="121"/>
    <row r="362" ht="15.75" customHeight="1" s="121"/>
    <row r="363" ht="15.75" customHeight="1" s="121"/>
    <row r="364" ht="15.75" customHeight="1" s="121"/>
    <row r="365" ht="15.75" customHeight="1" s="121"/>
    <row r="366" ht="15.75" customHeight="1" s="121"/>
    <row r="367" ht="15.75" customHeight="1" s="121"/>
    <row r="368" ht="15.75" customHeight="1" s="121"/>
    <row r="369" ht="15.75" customHeight="1" s="121"/>
    <row r="370" ht="15.75" customHeight="1" s="121"/>
    <row r="371" ht="15.75" customHeight="1" s="121"/>
    <row r="372" ht="15.75" customHeight="1" s="121"/>
    <row r="373" ht="15.75" customHeight="1" s="121"/>
    <row r="374" ht="15.75" customHeight="1" s="121"/>
    <row r="375" ht="15.75" customHeight="1" s="121"/>
    <row r="376" ht="15.75" customHeight="1" s="121"/>
    <row r="377" ht="15.75" customHeight="1" s="121"/>
    <row r="378" ht="15.75" customHeight="1" s="121"/>
    <row r="379" ht="15.75" customHeight="1" s="121"/>
    <row r="380" ht="15.75" customHeight="1" s="121"/>
    <row r="381" ht="15.75" customHeight="1" s="121"/>
    <row r="382" ht="15.75" customHeight="1" s="121"/>
    <row r="383" ht="15.75" customHeight="1" s="121"/>
    <row r="384" ht="15.75" customHeight="1" s="121"/>
    <row r="385" ht="15.75" customHeight="1" s="121"/>
    <row r="386" ht="15.75" customHeight="1" s="121"/>
    <row r="387" ht="15.75" customHeight="1" s="121"/>
    <row r="388" ht="15.75" customHeight="1" s="121"/>
    <row r="389" ht="15.75" customHeight="1" s="121"/>
    <row r="390" ht="15.75" customHeight="1" s="121"/>
    <row r="391" ht="15.75" customHeight="1" s="121"/>
    <row r="392" ht="15.75" customHeight="1" s="121"/>
    <row r="393" ht="15.75" customHeight="1" s="121"/>
    <row r="394" ht="15.75" customHeight="1" s="121"/>
    <row r="395" ht="15.75" customHeight="1" s="121"/>
    <row r="396" ht="15.75" customHeight="1" s="121"/>
    <row r="397" ht="15.75" customHeight="1" s="121"/>
    <row r="398" ht="15.75" customHeight="1" s="121"/>
    <row r="399" ht="15.75" customHeight="1" s="121"/>
    <row r="400" ht="15.75" customHeight="1" s="121"/>
    <row r="401" ht="15.75" customHeight="1" s="121"/>
    <row r="402" ht="15.75" customHeight="1" s="121"/>
    <row r="403" ht="15.75" customHeight="1" s="121"/>
    <row r="404" ht="15.75" customHeight="1" s="121"/>
    <row r="405" ht="15.75" customHeight="1" s="121"/>
    <row r="406" ht="15.75" customHeight="1" s="121"/>
    <row r="407" ht="15.75" customHeight="1" s="121"/>
    <row r="408" ht="15.75" customHeight="1" s="121"/>
    <row r="409" ht="15.75" customHeight="1" s="121"/>
    <row r="410" ht="15.75" customHeight="1" s="121"/>
    <row r="411" ht="15.75" customHeight="1" s="121"/>
    <row r="412" ht="15.75" customHeight="1" s="121"/>
    <row r="413" ht="15.75" customHeight="1" s="121"/>
    <row r="414" ht="15.75" customHeight="1" s="121"/>
    <row r="415" ht="15.75" customHeight="1" s="121"/>
    <row r="416" ht="15.75" customHeight="1" s="121"/>
    <row r="417" ht="15.75" customHeight="1" s="121"/>
    <row r="418" ht="15.75" customHeight="1" s="121"/>
    <row r="419" ht="15.75" customHeight="1" s="121"/>
    <row r="420" ht="15.75" customHeight="1" s="121"/>
    <row r="421" ht="15.75" customHeight="1" s="121"/>
    <row r="422" ht="15.75" customHeight="1" s="121"/>
    <row r="423" ht="15.75" customHeight="1" s="121"/>
    <row r="424" ht="15.75" customHeight="1" s="121"/>
    <row r="425" ht="15.75" customHeight="1" s="121"/>
    <row r="426" ht="15.75" customHeight="1" s="121"/>
    <row r="427" ht="15.75" customHeight="1" s="121"/>
    <row r="428" ht="15.75" customHeight="1" s="121"/>
    <row r="429" ht="15.75" customHeight="1" s="121"/>
    <row r="430" ht="15.75" customHeight="1" s="121"/>
    <row r="431" ht="15.75" customHeight="1" s="121"/>
    <row r="432" ht="15.75" customHeight="1" s="121"/>
    <row r="433" ht="15.75" customHeight="1" s="121"/>
    <row r="434" ht="15.75" customHeight="1" s="121"/>
    <row r="435" ht="15.75" customHeight="1" s="121"/>
    <row r="436" ht="15.75" customHeight="1" s="121"/>
    <row r="437" ht="15.75" customHeight="1" s="121"/>
    <row r="438" ht="15.75" customHeight="1" s="121"/>
    <row r="439" ht="15.75" customHeight="1" s="121"/>
    <row r="440" ht="15.75" customHeight="1" s="121"/>
    <row r="441" ht="15.75" customHeight="1" s="121"/>
    <row r="442" ht="15.75" customHeight="1" s="121"/>
    <row r="443" ht="15.75" customHeight="1" s="121"/>
    <row r="444" ht="15.75" customHeight="1" s="121"/>
    <row r="445" ht="15.75" customHeight="1" s="121"/>
    <row r="446" ht="15.75" customHeight="1" s="121"/>
    <row r="447" ht="15.75" customHeight="1" s="121"/>
    <row r="448" ht="15.75" customHeight="1" s="121"/>
    <row r="449" ht="15.75" customHeight="1" s="121"/>
    <row r="450" ht="15.75" customHeight="1" s="121"/>
    <row r="451" ht="15.75" customHeight="1" s="121"/>
    <row r="452" ht="15.75" customHeight="1" s="121"/>
    <row r="453" ht="15.75" customHeight="1" s="121"/>
    <row r="454" ht="15.75" customHeight="1" s="121"/>
    <row r="455" ht="15.75" customHeight="1" s="121"/>
    <row r="456" ht="15.75" customHeight="1" s="121"/>
    <row r="457" ht="15.75" customHeight="1" s="121"/>
    <row r="458" ht="15.75" customHeight="1" s="121"/>
    <row r="459" ht="15.75" customHeight="1" s="121"/>
    <row r="460" ht="15.75" customHeight="1" s="121"/>
    <row r="461" ht="15.75" customHeight="1" s="121"/>
    <row r="462" ht="15.75" customHeight="1" s="121"/>
    <row r="463" ht="15.75" customHeight="1" s="121"/>
    <row r="464" ht="15.75" customHeight="1" s="121"/>
    <row r="465" ht="15.75" customHeight="1" s="121"/>
    <row r="466" ht="15.75" customHeight="1" s="121"/>
    <row r="467" ht="15.75" customHeight="1" s="121"/>
    <row r="468" ht="15.75" customHeight="1" s="121"/>
    <row r="469" ht="15.75" customHeight="1" s="121"/>
    <row r="470" ht="15.75" customHeight="1" s="121"/>
    <row r="471" ht="15.75" customHeight="1" s="121"/>
    <row r="472" ht="15.75" customHeight="1" s="121"/>
    <row r="473" ht="15.75" customHeight="1" s="121"/>
    <row r="474" ht="15.75" customHeight="1" s="121"/>
    <row r="475" ht="15.75" customHeight="1" s="121"/>
    <row r="476" ht="15.75" customHeight="1" s="121"/>
    <row r="477" ht="15.75" customHeight="1" s="121"/>
    <row r="478" ht="15.75" customHeight="1" s="121"/>
    <row r="479" ht="15.75" customHeight="1" s="121"/>
    <row r="480" ht="15.75" customHeight="1" s="121"/>
    <row r="481" ht="15.75" customHeight="1" s="121"/>
    <row r="482" ht="15.75" customHeight="1" s="121"/>
    <row r="483" ht="15.75" customHeight="1" s="121"/>
    <row r="484" ht="15.75" customHeight="1" s="121"/>
    <row r="485" ht="15.75" customHeight="1" s="121"/>
    <row r="486" ht="15.75" customHeight="1" s="121"/>
    <row r="487" ht="15.75" customHeight="1" s="121"/>
    <row r="488" ht="15.75" customHeight="1" s="121"/>
    <row r="489" ht="15.75" customHeight="1" s="121"/>
    <row r="490" ht="15.75" customHeight="1" s="121"/>
    <row r="491" ht="15.75" customHeight="1" s="121"/>
    <row r="492" ht="15.75" customHeight="1" s="121"/>
    <row r="493" ht="15.75" customHeight="1" s="121"/>
    <row r="494" ht="15.75" customHeight="1" s="121"/>
    <row r="495" ht="15.75" customHeight="1" s="121"/>
    <row r="496" ht="15.75" customHeight="1" s="121"/>
    <row r="497" ht="15.75" customHeight="1" s="121"/>
    <row r="498" ht="15.75" customHeight="1" s="121"/>
    <row r="499" ht="15.75" customHeight="1" s="121"/>
    <row r="500" ht="15.75" customHeight="1" s="121"/>
    <row r="501" ht="15.75" customHeight="1" s="121"/>
    <row r="502" ht="15.75" customHeight="1" s="121"/>
    <row r="503" ht="15.75" customHeight="1" s="121"/>
    <row r="504" ht="15.75" customHeight="1" s="121"/>
    <row r="505" ht="15.75" customHeight="1" s="121"/>
    <row r="506" ht="15.75" customHeight="1" s="121"/>
    <row r="507" ht="15.75" customHeight="1" s="121"/>
    <row r="508" ht="15.75" customHeight="1" s="121"/>
    <row r="509" ht="15.75" customHeight="1" s="121"/>
    <row r="510" ht="15.75" customHeight="1" s="121"/>
    <row r="511" ht="15.75" customHeight="1" s="121"/>
    <row r="512" ht="15.75" customHeight="1" s="121"/>
    <row r="513" ht="15.75" customHeight="1" s="121"/>
    <row r="514" ht="15.75" customHeight="1" s="121"/>
    <row r="515" ht="15.75" customHeight="1" s="121"/>
    <row r="516" ht="15.75" customHeight="1" s="121"/>
    <row r="517" ht="15.75" customHeight="1" s="121"/>
    <row r="518" ht="15.75" customHeight="1" s="121"/>
    <row r="519" ht="15.75" customHeight="1" s="121"/>
    <row r="520" ht="15.75" customHeight="1" s="121"/>
    <row r="521" ht="15.75" customHeight="1" s="121"/>
    <row r="522" ht="15.75" customHeight="1" s="121"/>
    <row r="523" ht="15.75" customHeight="1" s="121"/>
    <row r="524" ht="15.75" customHeight="1" s="121"/>
    <row r="525" ht="15.75" customHeight="1" s="121"/>
    <row r="526" ht="15.75" customHeight="1" s="121"/>
    <row r="527" ht="15.75" customHeight="1" s="121"/>
    <row r="528" ht="15.75" customHeight="1" s="121"/>
    <row r="529" ht="15.75" customHeight="1" s="121"/>
    <row r="530" ht="15.75" customHeight="1" s="121"/>
    <row r="531" ht="15.75" customHeight="1" s="121"/>
    <row r="532" ht="15.75" customHeight="1" s="121"/>
    <row r="533" ht="15.75" customHeight="1" s="121"/>
    <row r="534" ht="15.75" customHeight="1" s="121"/>
    <row r="535" ht="15.75" customHeight="1" s="121"/>
    <row r="536" ht="15.75" customHeight="1" s="121"/>
    <row r="537" ht="15.75" customHeight="1" s="121"/>
    <row r="538" ht="15.75" customHeight="1" s="121"/>
    <row r="539" ht="15.75" customHeight="1" s="121"/>
    <row r="540" ht="15.75" customHeight="1" s="121"/>
    <row r="541" ht="15.75" customHeight="1" s="121"/>
    <row r="542" ht="15.75" customHeight="1" s="121"/>
    <row r="543" ht="15.75" customHeight="1" s="121"/>
    <row r="544" ht="15.75" customHeight="1" s="121"/>
    <row r="545" ht="15.75" customHeight="1" s="121"/>
    <row r="546" ht="15.75" customHeight="1" s="121"/>
    <row r="547" ht="15.75" customHeight="1" s="121"/>
    <row r="548" ht="15.75" customHeight="1" s="121"/>
    <row r="549" ht="15.75" customHeight="1" s="121"/>
    <row r="550" ht="15.75" customHeight="1" s="121"/>
    <row r="551" ht="15.75" customHeight="1" s="121"/>
    <row r="552" ht="15.75" customHeight="1" s="121"/>
    <row r="553" ht="15.75" customHeight="1" s="121"/>
    <row r="554" ht="15.75" customHeight="1" s="121"/>
    <row r="555" ht="15.75" customHeight="1" s="121"/>
    <row r="556" ht="15.75" customHeight="1" s="121"/>
    <row r="557" ht="15.75" customHeight="1" s="121"/>
    <row r="558" ht="15.75" customHeight="1" s="121"/>
    <row r="559" ht="15.75" customHeight="1" s="121"/>
    <row r="560" ht="15.75" customHeight="1" s="121"/>
    <row r="561" ht="15.75" customHeight="1" s="121"/>
    <row r="562" ht="15.75" customHeight="1" s="121"/>
    <row r="563" ht="15.75" customHeight="1" s="121"/>
    <row r="564" ht="15.75" customHeight="1" s="121"/>
    <row r="565" ht="15.75" customHeight="1" s="121"/>
    <row r="566" ht="15.75" customHeight="1" s="121"/>
    <row r="567" ht="15.75" customHeight="1" s="121"/>
    <row r="568" ht="15.75" customHeight="1" s="121"/>
    <row r="569" ht="15.75" customHeight="1" s="121"/>
    <row r="570" ht="15.75" customHeight="1" s="121"/>
    <row r="571" ht="15.75" customHeight="1" s="121"/>
    <row r="572" ht="15.75" customHeight="1" s="121"/>
    <row r="573" ht="15.75" customHeight="1" s="121"/>
    <row r="574" ht="15.75" customHeight="1" s="121"/>
    <row r="575" ht="15.75" customHeight="1" s="121"/>
    <row r="576" ht="15.75" customHeight="1" s="121"/>
    <row r="577" ht="15.75" customHeight="1" s="121"/>
    <row r="578" ht="15.75" customHeight="1" s="121"/>
    <row r="579" ht="15.75" customHeight="1" s="121"/>
    <row r="580" ht="15.75" customHeight="1" s="121"/>
    <row r="581" ht="15.75" customHeight="1" s="121"/>
    <row r="582" ht="15.75" customHeight="1" s="121"/>
    <row r="583" ht="15.75" customHeight="1" s="121"/>
    <row r="584" ht="15.75" customHeight="1" s="121"/>
    <row r="585" ht="15.75" customHeight="1" s="121"/>
    <row r="586" ht="15.75" customHeight="1" s="121"/>
    <row r="587" ht="15.75" customHeight="1" s="121"/>
    <row r="588" ht="15.75" customHeight="1" s="121"/>
    <row r="589" ht="15.75" customHeight="1" s="121"/>
    <row r="590" ht="15.75" customHeight="1" s="121"/>
    <row r="591" ht="15.75" customHeight="1" s="121"/>
    <row r="592" ht="15.75" customHeight="1" s="121"/>
    <row r="593" ht="15.75" customHeight="1" s="121"/>
    <row r="594" ht="15.75" customHeight="1" s="121"/>
    <row r="595" ht="15.75" customHeight="1" s="121"/>
    <row r="596" ht="15.75" customHeight="1" s="121"/>
    <row r="597" ht="15.75" customHeight="1" s="121"/>
    <row r="598" ht="15.75" customHeight="1" s="121"/>
    <row r="599" ht="15.75" customHeight="1" s="121"/>
    <row r="600" ht="15.75" customHeight="1" s="121"/>
    <row r="601" ht="15.75" customHeight="1" s="121"/>
    <row r="602" ht="15.75" customHeight="1" s="121"/>
    <row r="603" ht="15.75" customHeight="1" s="121"/>
    <row r="604" ht="15.75" customHeight="1" s="121"/>
    <row r="605" ht="15.75" customHeight="1" s="121"/>
    <row r="606" ht="15.75" customHeight="1" s="121"/>
    <row r="607" ht="15.75" customHeight="1" s="121"/>
    <row r="608" ht="15.75" customHeight="1" s="121"/>
    <row r="609" ht="15.75" customHeight="1" s="121"/>
    <row r="610" ht="15.75" customHeight="1" s="121"/>
    <row r="611" ht="15.75" customHeight="1" s="121"/>
    <row r="612" ht="15.75" customHeight="1" s="121"/>
    <row r="613" ht="15.75" customHeight="1" s="121"/>
    <row r="614" ht="15.75" customHeight="1" s="121"/>
    <row r="615" ht="15.75" customHeight="1" s="121"/>
    <row r="616" ht="15.75" customHeight="1" s="121"/>
    <row r="617" ht="15.75" customHeight="1" s="121"/>
    <row r="618" ht="15.75" customHeight="1" s="121"/>
    <row r="619" ht="15.75" customHeight="1" s="121"/>
    <row r="620" ht="15.75" customHeight="1" s="121"/>
    <row r="621" ht="15.75" customHeight="1" s="121"/>
    <row r="622" ht="15.75" customHeight="1" s="121"/>
    <row r="623" ht="15.75" customHeight="1" s="121"/>
    <row r="624" ht="15.75" customHeight="1" s="121"/>
    <row r="625" ht="15.75" customHeight="1" s="121"/>
    <row r="626" ht="15.75" customHeight="1" s="121"/>
    <row r="627" ht="15.75" customHeight="1" s="121"/>
    <row r="628" ht="15.75" customHeight="1" s="121"/>
    <row r="629" ht="15.75" customHeight="1" s="121"/>
    <row r="630" ht="15.75" customHeight="1" s="121"/>
    <row r="631" ht="15.75" customHeight="1" s="121"/>
    <row r="632" ht="15.75" customHeight="1" s="121"/>
    <row r="633" ht="15.75" customHeight="1" s="121"/>
    <row r="634" ht="15.75" customHeight="1" s="121"/>
    <row r="635" ht="15.75" customHeight="1" s="121"/>
    <row r="636" ht="15.75" customHeight="1" s="121"/>
    <row r="637" ht="15.75" customHeight="1" s="121"/>
    <row r="638" ht="15.75" customHeight="1" s="121"/>
    <row r="639" ht="15.75" customHeight="1" s="121"/>
    <row r="640" ht="15.75" customHeight="1" s="121"/>
    <row r="641" ht="15.75" customHeight="1" s="121"/>
    <row r="642" ht="15.75" customHeight="1" s="121"/>
    <row r="643" ht="15.75" customHeight="1" s="121"/>
    <row r="644" ht="15.75" customHeight="1" s="121"/>
    <row r="645" ht="15.75" customHeight="1" s="121"/>
    <row r="646" ht="15.75" customHeight="1" s="121"/>
    <row r="647" ht="15.75" customHeight="1" s="121"/>
    <row r="648" ht="15.75" customHeight="1" s="121"/>
    <row r="649" ht="15.75" customHeight="1" s="121"/>
    <row r="650" ht="15.75" customHeight="1" s="121"/>
    <row r="651" ht="15.75" customHeight="1" s="121"/>
    <row r="652" ht="15.75" customHeight="1" s="121"/>
    <row r="653" ht="15.75" customHeight="1" s="121"/>
    <row r="654" ht="15.75" customHeight="1" s="121"/>
    <row r="655" ht="15.75" customHeight="1" s="121"/>
    <row r="656" ht="15.75" customHeight="1" s="121"/>
    <row r="657" ht="15.75" customHeight="1" s="121"/>
    <row r="658" ht="15.75" customHeight="1" s="121"/>
    <row r="659" ht="15.75" customHeight="1" s="121"/>
    <row r="660" ht="15.75" customHeight="1" s="121"/>
    <row r="661" ht="15.75" customHeight="1" s="121"/>
    <row r="662" ht="15.75" customHeight="1" s="121"/>
    <row r="663" ht="15.75" customHeight="1" s="121"/>
    <row r="664" ht="15.75" customHeight="1" s="121"/>
    <row r="665" ht="15.75" customHeight="1" s="121"/>
    <row r="666" ht="15.75" customHeight="1" s="121"/>
    <row r="667" ht="15.75" customHeight="1" s="121"/>
    <row r="668" ht="15.75" customHeight="1" s="121"/>
    <row r="669" ht="15.75" customHeight="1" s="121"/>
    <row r="670" ht="15.75" customHeight="1" s="121"/>
    <row r="671" ht="15.75" customHeight="1" s="121"/>
    <row r="672" ht="15.75" customHeight="1" s="121"/>
    <row r="673" ht="15.75" customHeight="1" s="121"/>
    <row r="674" ht="15.75" customHeight="1" s="121"/>
    <row r="675" ht="15.75" customHeight="1" s="121"/>
    <row r="676" ht="15.75" customHeight="1" s="121"/>
    <row r="677" ht="15.75" customHeight="1" s="121"/>
    <row r="678" ht="15.75" customHeight="1" s="121"/>
    <row r="679" ht="15.75" customHeight="1" s="121"/>
    <row r="680" ht="15.75" customHeight="1" s="121"/>
    <row r="681" ht="15.75" customHeight="1" s="121"/>
    <row r="682" ht="15.75" customHeight="1" s="121"/>
    <row r="683" ht="15.75" customHeight="1" s="121"/>
    <row r="684" ht="15.75" customHeight="1" s="121"/>
    <row r="685" ht="15.75" customHeight="1" s="121"/>
    <row r="686" ht="15.75" customHeight="1" s="121"/>
    <row r="687" ht="15.75" customHeight="1" s="121"/>
    <row r="688" ht="15.75" customHeight="1" s="121"/>
    <row r="689" ht="15.75" customHeight="1" s="121"/>
    <row r="690" ht="15.75" customHeight="1" s="121"/>
    <row r="691" ht="15.75" customHeight="1" s="121"/>
    <row r="692" ht="15.75" customHeight="1" s="121"/>
    <row r="693" ht="15.75" customHeight="1" s="121"/>
    <row r="694" ht="15.75" customHeight="1" s="121"/>
    <row r="695" ht="15.75" customHeight="1" s="121"/>
    <row r="696" ht="15.75" customHeight="1" s="121"/>
    <row r="697" ht="15.75" customHeight="1" s="121"/>
    <row r="698" ht="15.75" customHeight="1" s="121"/>
    <row r="699" ht="15.75" customHeight="1" s="121"/>
    <row r="700" ht="15.75" customHeight="1" s="121"/>
    <row r="701" ht="15.75" customHeight="1" s="121"/>
    <row r="702" ht="15.75" customHeight="1" s="121"/>
    <row r="703" ht="15.75" customHeight="1" s="121"/>
    <row r="704" ht="15.75" customHeight="1" s="121"/>
    <row r="705" ht="15.75" customHeight="1" s="121"/>
    <row r="706" ht="15.75" customHeight="1" s="121"/>
    <row r="707" ht="15.75" customHeight="1" s="121"/>
    <row r="708" ht="15.75" customHeight="1" s="121"/>
    <row r="709" ht="15.75" customHeight="1" s="121"/>
    <row r="710" ht="15.75" customHeight="1" s="121"/>
    <row r="711" ht="15.75" customHeight="1" s="121"/>
    <row r="712" ht="15.75" customHeight="1" s="121"/>
    <row r="713" ht="15.75" customHeight="1" s="121"/>
    <row r="714" ht="15.75" customHeight="1" s="121"/>
    <row r="715" ht="15.75" customHeight="1" s="121"/>
    <row r="716" ht="15.75" customHeight="1" s="121"/>
    <row r="717" ht="15.75" customHeight="1" s="121"/>
    <row r="718" ht="15.75" customHeight="1" s="121"/>
    <row r="719" ht="15.75" customHeight="1" s="121"/>
    <row r="720" ht="15.75" customHeight="1" s="121"/>
    <row r="721" ht="15.75" customHeight="1" s="121"/>
    <row r="722" ht="15.75" customHeight="1" s="121"/>
    <row r="723" ht="15.75" customHeight="1" s="121"/>
    <row r="724" ht="15.75" customHeight="1" s="121"/>
    <row r="725" ht="15.75" customHeight="1" s="121"/>
    <row r="726" ht="15.75" customHeight="1" s="121"/>
    <row r="727" ht="15.75" customHeight="1" s="121"/>
    <row r="728" ht="15.75" customHeight="1" s="121"/>
    <row r="729" ht="15.75" customHeight="1" s="121"/>
    <row r="730" ht="15.75" customHeight="1" s="121"/>
    <row r="731" ht="15.75" customHeight="1" s="121"/>
    <row r="732" ht="15.75" customHeight="1" s="121"/>
    <row r="733" ht="15.75" customHeight="1" s="121"/>
    <row r="734" ht="15.75" customHeight="1" s="121"/>
    <row r="735" ht="15.75" customHeight="1" s="121"/>
    <row r="736" ht="15.75" customHeight="1" s="121"/>
    <row r="737" ht="15.75" customHeight="1" s="121"/>
    <row r="738" ht="15.75" customHeight="1" s="121"/>
    <row r="739" ht="15.75" customHeight="1" s="121"/>
    <row r="740" ht="15.75" customHeight="1" s="121"/>
    <row r="741" ht="15.75" customHeight="1" s="121"/>
    <row r="742" ht="15.75" customHeight="1" s="121"/>
    <row r="743" ht="15.75" customHeight="1" s="121"/>
    <row r="744" ht="15.75" customHeight="1" s="121"/>
    <row r="745" ht="15.75" customHeight="1" s="121"/>
    <row r="746" ht="15.75" customHeight="1" s="121"/>
    <row r="747" ht="15.75" customHeight="1" s="121"/>
    <row r="748" ht="15.75" customHeight="1" s="121"/>
    <row r="749" ht="15.75" customHeight="1" s="121"/>
    <row r="750" ht="15.75" customHeight="1" s="121"/>
    <row r="751" ht="15.75" customHeight="1" s="121"/>
    <row r="752" ht="15.75" customHeight="1" s="121"/>
    <row r="753" ht="15.75" customHeight="1" s="121"/>
    <row r="754" ht="15.75" customHeight="1" s="121"/>
    <row r="755" ht="15.75" customHeight="1" s="121"/>
    <row r="756" ht="15.75" customHeight="1" s="121"/>
    <row r="757" ht="15.75" customHeight="1" s="121"/>
    <row r="758" ht="15.75" customHeight="1" s="121"/>
    <row r="759" ht="15.75" customHeight="1" s="121"/>
    <row r="760" ht="15.75" customHeight="1" s="121"/>
    <row r="761" ht="15.75" customHeight="1" s="121"/>
    <row r="762" ht="15.75" customHeight="1" s="121"/>
    <row r="763" ht="15.75" customHeight="1" s="121"/>
    <row r="764" ht="15.75" customHeight="1" s="121"/>
    <row r="765" ht="15.75" customHeight="1" s="121"/>
    <row r="766" ht="15.75" customHeight="1" s="121"/>
    <row r="767" ht="15.75" customHeight="1" s="121"/>
    <row r="768" ht="15.75" customHeight="1" s="121"/>
    <row r="769" ht="15.75" customHeight="1" s="121"/>
    <row r="770" ht="15.75" customHeight="1" s="121"/>
    <row r="771" ht="15.75" customHeight="1" s="121"/>
    <row r="772" ht="15.75" customHeight="1" s="121"/>
    <row r="773" ht="15.75" customHeight="1" s="121"/>
    <row r="774" ht="15.75" customHeight="1" s="121"/>
    <row r="775" ht="15.75" customHeight="1" s="121"/>
    <row r="776" ht="15.75" customHeight="1" s="121"/>
    <row r="777" ht="15.75" customHeight="1" s="121"/>
    <row r="778" ht="15.75" customHeight="1" s="121"/>
    <row r="779" ht="15.75" customHeight="1" s="121"/>
    <row r="780" ht="15.75" customHeight="1" s="121"/>
    <row r="781" ht="15.75" customHeight="1" s="121"/>
    <row r="782" ht="15.75" customHeight="1" s="121"/>
    <row r="783" ht="15.75" customHeight="1" s="121"/>
    <row r="784" ht="15.75" customHeight="1" s="121"/>
    <row r="785" ht="15.75" customHeight="1" s="121"/>
    <row r="786" ht="15.75" customHeight="1" s="121"/>
    <row r="787" ht="15.75" customHeight="1" s="121"/>
    <row r="788" ht="15.75" customHeight="1" s="121"/>
    <row r="789" ht="15.75" customHeight="1" s="121"/>
    <row r="790" ht="15.75" customHeight="1" s="121"/>
    <row r="791" ht="15.75" customHeight="1" s="121"/>
    <row r="792" ht="15.75" customHeight="1" s="121"/>
    <row r="793" ht="15.75" customHeight="1" s="121"/>
    <row r="794" ht="15.75" customHeight="1" s="121"/>
    <row r="795" ht="15.75" customHeight="1" s="121"/>
    <row r="796" ht="15.75" customHeight="1" s="121"/>
    <row r="797" ht="15.75" customHeight="1" s="121"/>
    <row r="798" ht="15.75" customHeight="1" s="121"/>
    <row r="799" ht="15.75" customHeight="1" s="121"/>
    <row r="800" ht="15.75" customHeight="1" s="121"/>
    <row r="801" ht="15.75" customHeight="1" s="121"/>
    <row r="802" ht="15.75" customHeight="1" s="121"/>
    <row r="803" ht="15.75" customHeight="1" s="121"/>
    <row r="804" ht="15.75" customHeight="1" s="121"/>
    <row r="805" ht="15.75" customHeight="1" s="121"/>
    <row r="806" ht="15.75" customHeight="1" s="121"/>
    <row r="807" ht="15.75" customHeight="1" s="121"/>
    <row r="808" ht="15.75" customHeight="1" s="121"/>
    <row r="809" ht="15.75" customHeight="1" s="121"/>
    <row r="810" ht="15.75" customHeight="1" s="121"/>
    <row r="811" ht="15.75" customHeight="1" s="121"/>
    <row r="812" ht="15.75" customHeight="1" s="121"/>
    <row r="813" ht="15.75" customHeight="1" s="121"/>
    <row r="814" ht="15.75" customHeight="1" s="121"/>
    <row r="815" ht="15.75" customHeight="1" s="121"/>
    <row r="816" ht="15.75" customHeight="1" s="121"/>
    <row r="817" ht="15.75" customHeight="1" s="121"/>
    <row r="818" ht="15.75" customHeight="1" s="121"/>
    <row r="819" ht="15.75" customHeight="1" s="121"/>
    <row r="820" ht="15.75" customHeight="1" s="121"/>
    <row r="821" ht="15.75" customHeight="1" s="121"/>
    <row r="822" ht="15.75" customHeight="1" s="121"/>
    <row r="823" ht="15.75" customHeight="1" s="121"/>
    <row r="824" ht="15.75" customHeight="1" s="121"/>
    <row r="825" ht="15.75" customHeight="1" s="121"/>
    <row r="826" ht="15.75" customHeight="1" s="121"/>
    <row r="827" ht="15.75" customHeight="1" s="121"/>
    <row r="828" ht="15.75" customHeight="1" s="121"/>
    <row r="829" ht="15.75" customHeight="1" s="121"/>
    <row r="830" ht="15.75" customHeight="1" s="121"/>
    <row r="831" ht="15.75" customHeight="1" s="121"/>
    <row r="832" ht="15.75" customHeight="1" s="121"/>
    <row r="833" ht="15.75" customHeight="1" s="121"/>
    <row r="834" ht="15.75" customHeight="1" s="121"/>
    <row r="835" ht="15.75" customHeight="1" s="121"/>
    <row r="836" ht="15.75" customHeight="1" s="121"/>
    <row r="837" ht="15.75" customHeight="1" s="121"/>
    <row r="838" ht="15.75" customHeight="1" s="121"/>
    <row r="839" ht="15.75" customHeight="1" s="121"/>
    <row r="840" ht="15.75" customHeight="1" s="121"/>
    <row r="841" ht="15.75" customHeight="1" s="121"/>
    <row r="842" ht="15.75" customHeight="1" s="121"/>
    <row r="843" ht="15.75" customHeight="1" s="121"/>
    <row r="844" ht="15.75" customHeight="1" s="121"/>
    <row r="845" ht="15.75" customHeight="1" s="121"/>
    <row r="846" ht="15.75" customHeight="1" s="121"/>
    <row r="847" ht="15.75" customHeight="1" s="121"/>
    <row r="848" ht="15.75" customHeight="1" s="121"/>
    <row r="849" ht="15.75" customHeight="1" s="121"/>
    <row r="850" ht="15.75" customHeight="1" s="121"/>
    <row r="851" ht="15.75" customHeight="1" s="121"/>
    <row r="852" ht="15.75" customHeight="1" s="121"/>
    <row r="853" ht="15.75" customHeight="1" s="121"/>
    <row r="854" ht="15.75" customHeight="1" s="121"/>
    <row r="855" ht="15.75" customHeight="1" s="121"/>
    <row r="856" ht="15.75" customHeight="1" s="121"/>
    <row r="857" ht="15.75" customHeight="1" s="121"/>
    <row r="858" ht="15.75" customHeight="1" s="121"/>
    <row r="859" ht="15.75" customHeight="1" s="121"/>
    <row r="860" ht="15.75" customHeight="1" s="121"/>
    <row r="861" ht="15.75" customHeight="1" s="121"/>
    <row r="862" ht="15.75" customHeight="1" s="121"/>
    <row r="863" ht="15.75" customHeight="1" s="121"/>
    <row r="864" ht="15.75" customHeight="1" s="121"/>
    <row r="865" ht="15.75" customHeight="1" s="121"/>
    <row r="866" ht="15.75" customHeight="1" s="121"/>
    <row r="867" ht="15.75" customHeight="1" s="121"/>
    <row r="868" ht="15.75" customHeight="1" s="121"/>
    <row r="869" ht="15.75" customHeight="1" s="121"/>
    <row r="870" ht="15.75" customHeight="1" s="121"/>
    <row r="871" ht="15.75" customHeight="1" s="121"/>
    <row r="872" ht="15.75" customHeight="1" s="121"/>
    <row r="873" ht="15.75" customHeight="1" s="121"/>
    <row r="874" ht="15.75" customHeight="1" s="121"/>
    <row r="875" ht="15.75" customHeight="1" s="121"/>
    <row r="876" ht="15.75" customHeight="1" s="121"/>
    <row r="877" ht="15.75" customHeight="1" s="121"/>
    <row r="878" ht="15.75" customHeight="1" s="121"/>
    <row r="879" ht="15.75" customHeight="1" s="121"/>
    <row r="880" ht="15.75" customHeight="1" s="121"/>
    <row r="881" ht="15.75" customHeight="1" s="121"/>
    <row r="882" ht="15.75" customHeight="1" s="121"/>
    <row r="883" ht="15.75" customHeight="1" s="121"/>
    <row r="884" ht="15.75" customHeight="1" s="121"/>
    <row r="885" ht="15.75" customHeight="1" s="121"/>
    <row r="886" ht="15.75" customHeight="1" s="121"/>
    <row r="887" ht="15.75" customHeight="1" s="121"/>
    <row r="888" ht="15.75" customHeight="1" s="121"/>
    <row r="889" ht="15.75" customHeight="1" s="121"/>
    <row r="890" ht="15.75" customHeight="1" s="121"/>
    <row r="891" ht="15.75" customHeight="1" s="121"/>
    <row r="892" ht="15.75" customHeight="1" s="121"/>
    <row r="893" ht="15.75" customHeight="1" s="121"/>
    <row r="894" ht="15.75" customHeight="1" s="121"/>
    <row r="895" ht="15.75" customHeight="1" s="121"/>
    <row r="896" ht="15.75" customHeight="1" s="121"/>
    <row r="897" ht="15.75" customHeight="1" s="121"/>
    <row r="898" ht="15.75" customHeight="1" s="121"/>
    <row r="899" ht="15.75" customHeight="1" s="121"/>
    <row r="900" ht="15.75" customHeight="1" s="121"/>
    <row r="901" ht="15.75" customHeight="1" s="121"/>
    <row r="902" ht="15.75" customHeight="1" s="121"/>
    <row r="903" ht="15.75" customHeight="1" s="121"/>
    <row r="904" ht="15.75" customHeight="1" s="121"/>
    <row r="905" ht="15.75" customHeight="1" s="121"/>
    <row r="906" ht="15.75" customHeight="1" s="121"/>
    <row r="907" ht="15.75" customHeight="1" s="121"/>
    <row r="908" ht="15.75" customHeight="1" s="121"/>
    <row r="909" ht="15.75" customHeight="1" s="121"/>
    <row r="910" ht="15.75" customHeight="1" s="121"/>
    <row r="911" ht="15.75" customHeight="1" s="121"/>
    <row r="912" ht="15.75" customHeight="1" s="121"/>
    <row r="913" ht="15.75" customHeight="1" s="121"/>
    <row r="914" ht="15.75" customHeight="1" s="121"/>
    <row r="915" ht="15.75" customHeight="1" s="121"/>
    <row r="916" ht="15.75" customHeight="1" s="121"/>
    <row r="917" ht="15.75" customHeight="1" s="121"/>
    <row r="918" ht="15.75" customHeight="1" s="121"/>
    <row r="919" ht="15.75" customHeight="1" s="121"/>
    <row r="920" ht="15.75" customHeight="1" s="121"/>
    <row r="921" ht="15.75" customHeight="1" s="121"/>
    <row r="922" ht="15.75" customHeight="1" s="121"/>
    <row r="923" ht="15.75" customHeight="1" s="121"/>
    <row r="924" ht="15.75" customHeight="1" s="121"/>
    <row r="925" ht="15.75" customHeight="1" s="121"/>
    <row r="926" ht="15.75" customHeight="1" s="121"/>
    <row r="927" ht="15.75" customHeight="1" s="121"/>
    <row r="928" ht="15.75" customHeight="1" s="121"/>
    <row r="929" ht="15.75" customHeight="1" s="121"/>
    <row r="930" ht="15.75" customHeight="1" s="121"/>
    <row r="931" ht="15.75" customHeight="1" s="121"/>
    <row r="932" ht="15.75" customHeight="1" s="121"/>
    <row r="933" ht="15.75" customHeight="1" s="121"/>
    <row r="934" ht="15.75" customHeight="1" s="121"/>
    <row r="935" ht="15.75" customHeight="1" s="121"/>
    <row r="936" ht="15.75" customHeight="1" s="121"/>
    <row r="937" ht="15.75" customHeight="1" s="121"/>
    <row r="938" ht="15.75" customHeight="1" s="121"/>
    <row r="939" ht="15.75" customHeight="1" s="121"/>
    <row r="940" ht="15.75" customHeight="1" s="121"/>
    <row r="941" ht="15.75" customHeight="1" s="121"/>
    <row r="942" ht="15.75" customHeight="1" s="121"/>
    <row r="943" ht="15.75" customHeight="1" s="121"/>
    <row r="944" ht="15.75" customHeight="1" s="121"/>
    <row r="945" ht="15.75" customHeight="1" s="121"/>
    <row r="946" ht="15.75" customHeight="1" s="121"/>
    <row r="947" ht="15.75" customHeight="1" s="121"/>
    <row r="948" ht="15.75" customHeight="1" s="121"/>
    <row r="949" ht="15.75" customHeight="1" s="121"/>
    <row r="950" ht="15.75" customHeight="1" s="121"/>
    <row r="951" ht="15.75" customHeight="1" s="121"/>
    <row r="952" ht="15.75" customHeight="1" s="121"/>
    <row r="953" ht="15.75" customHeight="1" s="121"/>
    <row r="954" ht="15.75" customHeight="1" s="121"/>
    <row r="955" ht="15.75" customHeight="1" s="121"/>
    <row r="956" ht="15.75" customHeight="1" s="121"/>
    <row r="957" ht="15.75" customHeight="1" s="121"/>
    <row r="958" ht="15.75" customHeight="1" s="121"/>
    <row r="959" ht="15.75" customHeight="1" s="121"/>
    <row r="960" ht="15.75" customHeight="1" s="121"/>
    <row r="961" ht="15.75" customHeight="1" s="121"/>
    <row r="962" ht="15.75" customHeight="1" s="121"/>
    <row r="963" ht="15.75" customHeight="1" s="121"/>
    <row r="964" ht="15.75" customHeight="1" s="121"/>
    <row r="965" ht="15.75" customHeight="1" s="121"/>
    <row r="966" ht="15.75" customHeight="1" s="121"/>
    <row r="967" ht="15.75" customHeight="1" s="121"/>
    <row r="968" ht="15.75" customHeight="1" s="121"/>
    <row r="969" ht="15.75" customHeight="1" s="121"/>
    <row r="970" ht="15.75" customHeight="1" s="121"/>
    <row r="971" ht="15.75" customHeight="1" s="121"/>
    <row r="972" ht="15.75" customHeight="1" s="121"/>
    <row r="973" ht="15.75" customHeight="1" s="121"/>
    <row r="974" ht="15.75" customHeight="1" s="121"/>
    <row r="975" ht="15.75" customHeight="1" s="121"/>
    <row r="976" ht="15.75" customHeight="1" s="121"/>
    <row r="977" ht="15.75" customHeight="1" s="121"/>
    <row r="978" ht="15.75" customHeight="1" s="121"/>
    <row r="979" ht="15.75" customHeight="1" s="121"/>
    <row r="980" ht="15.75" customHeight="1" s="121"/>
    <row r="981" ht="15.75" customHeight="1" s="121"/>
    <row r="982" ht="15.75" customHeight="1" s="121"/>
    <row r="983" ht="15.75" customHeight="1" s="121"/>
    <row r="984" ht="15.75" customHeight="1" s="121"/>
    <row r="985" ht="15.75" customHeight="1" s="121"/>
    <row r="986" ht="15.75" customHeight="1" s="121"/>
    <row r="987" ht="15.75" customHeight="1" s="121"/>
    <row r="988" ht="15.75" customHeight="1" s="121"/>
    <row r="989" ht="15.75" customHeight="1" s="121"/>
    <row r="990" ht="15.75" customHeight="1" s="121"/>
    <row r="991" ht="15.75" customHeight="1" s="121"/>
    <row r="992" ht="15.75" customHeight="1" s="121"/>
    <row r="993" ht="15.75" customHeight="1" s="121"/>
    <row r="994" ht="15.75" customHeight="1" s="121"/>
    <row r="995" ht="15.75" customHeight="1" s="121"/>
    <row r="996" ht="15.75" customHeight="1" s="121"/>
    <row r="997" ht="15.75" customHeight="1" s="121"/>
    <row r="998" ht="15.75" customHeight="1" s="121"/>
    <row r="999" ht="15.75" customHeight="1" s="121"/>
    <row r="1000" ht="15.75" customHeight="1" s="121"/>
  </sheetData>
  <autoFilter ref="A1:U37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</autoFilter>
  <mergeCells count="6">
    <mergeCell ref="A2:F2"/>
    <mergeCell ref="M2:N2"/>
    <mergeCell ref="G2:L2"/>
    <mergeCell ref="O2:R2"/>
    <mergeCell ref="A1:U1"/>
    <mergeCell ref="S2:U2"/>
  </mergeCells>
  <conditionalFormatting sqref="G4:L37">
    <cfRule type="cellIs" priority="2" operator="equal" dxfId="14">
      <formula>"Not Started"</formula>
    </cfRule>
    <cfRule type="cellIs" priority="3" operator="equal" dxfId="3">
      <formula>"In Progress"</formula>
    </cfRule>
    <cfRule type="cellIs" priority="4" operator="equal" dxfId="2">
      <formula>"Done"</formula>
    </cfRule>
    <cfRule type="cellIs" priority="5" operator="equal" dxfId="5">
      <formula>"Blocked"</formula>
    </cfRule>
    <cfRule type="cellIs" priority="6" operator="equal" dxfId="0">
      <formula>"N/A"</formula>
    </cfRule>
  </conditionalFormatting>
  <conditionalFormatting sqref="N4:N37">
    <cfRule type="cellIs" priority="32" operator="equal" dxfId="22">
      <formula>"Backlog"</formula>
    </cfRule>
    <cfRule type="cellIs" priority="33" operator="equal" dxfId="3">
      <formula>"Discovery"</formula>
    </cfRule>
    <cfRule type="cellIs" priority="34" operator="equal" dxfId="3">
      <formula>"Data Requested"</formula>
    </cfRule>
    <cfRule type="cellIs" priority="35" operator="equal" dxfId="12">
      <formula>"Data Ready"</formula>
    </cfRule>
    <cfRule type="cellIs" priority="36" operator="equal" dxfId="17">
      <formula>"Converting"</formula>
    </cfRule>
    <cfRule type="cellIs" priority="37" operator="equal" dxfId="17">
      <formula>"QA"</formula>
    </cfRule>
    <cfRule type="cellIs" priority="38" operator="equal" dxfId="1">
      <formula>"Done"</formula>
    </cfRule>
    <cfRule type="cellIs" priority="39" operator="equal" dxfId="5">
      <formula>"Blocked"</formula>
    </cfRule>
  </conditionalFormatting>
  <dataValidations disablePrompts="1" count="8">
    <dataValidation sqref="N4:N37" showDropDown="0" showInputMessage="0" showErrorMessage="0" allowBlank="1" type="list">
      <formula1>"Backlog,Discovery,Data Requested,Data Ready,Converting,QA,Done"</formula1>
      <formula2>0</formula2>
    </dataValidation>
    <dataValidation sqref="G4:H37" showDropDown="0" showInputMessage="1" showErrorMessage="1" allowBlank="1" prompt="Giá trị không hợp lệ - Chọn trong: Not Started, In Progress, Done, Blocked, N/A" type="list">
      <formula1>"Not Started,In Progress,Done,Blocked,N/A,Working,PageNotFound,Page Error"</formula1>
    </dataValidation>
    <dataValidation sqref="I4:J37" showDropDown="0" showInputMessage="1" showErrorMessage="1" allowBlank="1" prompt="Giá trị không hợp lệ - Chọn trong: Not Started, In Progress, Done, Blocked, N/A" type="list">
      <formula1>"Not Started,In Progress,Done,Blocked,N/A,Collected"</formula1>
    </dataValidation>
    <dataValidation sqref="K4:K37" showDropDown="0" showInputMessage="1" showErrorMessage="1" allowBlank="1" prompt="Giá trị không hợp lệ - Chọn trong: Not Started, In Progress, Done, Blocked, N/A" type="list">
      <formula1>"Not Started,In Progress,Done,Blocked,N/A,Sent,Not yet"</formula1>
    </dataValidation>
    <dataValidation sqref="L4:L37" showDropDown="0" showInputMessage="1" showErrorMessage="1" allowBlank="1" prompt="Giá trị không hợp lệ - Chọn trong: Not Started, In Progress, Done, Blocked, N/A" type="list">
      <formula1>"Not Started,In Progress,Done,Blocked,N/A,Ready,NotReady"</formula1>
    </dataValidation>
    <dataValidation sqref="F4:F13" showDropDown="0" showInputMessage="0" showErrorMessage="0" allowBlank="1" type="list">
      <formula1>"Vint, Hughie,Steve"</formula1>
    </dataValidation>
    <dataValidation sqref="F14:F29" showDropDown="0" showInputMessage="0" showErrorMessage="0" allowBlank="1" type="list">
      <formula1>"Vint,Hughie,Steve"</formula1>
    </dataValidation>
    <dataValidation sqref="F30:F37" showDropDown="0" showInputMessage="0" showErrorMessage="0" allowBlank="1" type="list">
      <formula1>"Eddie"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tabSelected="1" zoomScale="85" zoomScaleNormal="85" workbookViewId="0">
      <pane ySplit="4" topLeftCell="A25" activePane="bottomLeft" state="frozen"/>
      <selection pane="bottomLeft" activeCell="Q41" sqref="Q41"/>
    </sheetView>
  </sheetViews>
  <sheetFormatPr baseColWidth="8" defaultColWidth="8.5703125" defaultRowHeight="15"/>
  <cols>
    <col width="22.42578125" customWidth="1" style="121" min="1" max="1"/>
    <col width="18.5703125" customWidth="1" style="121" min="2" max="2"/>
    <col width="22" customWidth="1" style="121" min="3" max="3"/>
    <col width="34" customWidth="1" style="121" min="4" max="4"/>
    <col width="40" customWidth="1" style="121" min="5" max="5"/>
    <col width="8" customWidth="1" style="121" min="6" max="6"/>
    <col width="52" customWidth="1" style="121" min="7" max="7"/>
    <col width="50" customWidth="1" style="121" min="8" max="8"/>
    <col width="29.85546875" customWidth="1" style="121" min="9" max="9"/>
  </cols>
  <sheetData>
    <row r="1" ht="27.75" customHeight="1" s="121">
      <c r="A1" s="125" t="inlineStr">
        <is>
          <t>LIST BIZACTOR ID In 34 Page</t>
        </is>
      </c>
      <c r="I1" s="41" t="n"/>
    </row>
    <row r="2" ht="15" customHeight="1" s="121">
      <c r="A2" s="132" t="n"/>
      <c r="I2" s="42" t="n"/>
    </row>
    <row r="4" ht="30" customHeight="1" s="121">
      <c r="A4" s="66" t="inlineStr">
        <is>
          <t>PageNumber</t>
        </is>
      </c>
      <c r="B4" s="66" t="inlineStr">
        <is>
          <t>Assignee</t>
        </is>
      </c>
      <c r="C4" s="66" t="inlineStr">
        <is>
          <t>Screen ID</t>
        </is>
      </c>
      <c r="D4" s="66" t="inlineStr">
        <is>
          <t>Page name (VN)</t>
        </is>
      </c>
      <c r="E4" s="66" t="inlineStr">
        <is>
          <t>BizActor ID</t>
        </is>
      </c>
      <c r="F4" s="66" t="inlineStr">
        <is>
          <t>Prefix</t>
        </is>
      </c>
      <c r="G4" s="66" t="inlineStr">
        <is>
          <t>Purpose</t>
        </is>
      </c>
      <c r="H4" s="66" t="inlineStr">
        <is>
          <t xml:space="preserve">Tables </t>
        </is>
      </c>
      <c r="I4" s="67" t="inlineStr">
        <is>
          <t>Note</t>
        </is>
      </c>
    </row>
    <row r="5" ht="105" customHeight="1" s="121">
      <c r="A5" s="68" t="n"/>
      <c r="B5" s="68" t="n"/>
      <c r="C5" s="69" t="inlineStr">
        <is>
          <t>GMES_IMES_0101</t>
        </is>
      </c>
      <c r="D5" s="68" t="n"/>
      <c r="E5" s="70" t="inlineStr">
        <is>
          <t>BR_IM_SEL_AREA_CBO,
BR_COM_GET_COMMONCODE_CBO,
COR_SEL_MATERIALTYPE_CBO,
BR_IM_SEL_PRODUCTGROUP_BY_AREA_CBO,
BR_IM_SEL_PROCESSSEGMENT_BY_PCSGID_CBO,
BR_IM_SEL_EQUIPMENTSEGMENT_BY_PCGSID_CBO,
DA_PRD_SEL_WIP_CLOSE_MONTH_OR_DATE</t>
        </is>
      </c>
      <c r="F5" s="68" t="n"/>
      <c r="G5" s="68" t="n"/>
      <c r="H5" s="68" t="n"/>
      <c r="I5" s="68" t="n"/>
    </row>
    <row r="6" ht="300" customHeight="1" s="121">
      <c r="A6" s="68" t="n"/>
      <c r="B6" s="68" t="n"/>
      <c r="C6" s="69" t="inlineStr">
        <is>
          <t>GMES_IMES_0227</t>
        </is>
      </c>
      <c r="D6" s="68" t="n"/>
      <c r="E6" s="70" t="inlineStr">
        <is>
          <t>COR_SEL_MATERIALTYPE_CBO,
BR_IM_SEL_PRODUCTGROUP_BY_AREA_CBO,
BR_IM_SEL_PROCESSSEGMENT_BY_PCSGID_CBO,
BR_IM_SEL_EQUIPMENTSEGMENT_BY_PCGSID_CBO,
DA_IM_SEL_BLENDER_EQPT_CBO,
BR_IM_PRD_GET_WORKODER_LB,
BR_COM_GET_COMMONCODE,
DA_IM_COM_SEL_COMMONCODE_BY_ATTRIBUTE,
BR_IM_PRD_GET_PACK_SCANINFO,
BR_IM_PRD_GET_NEW_LOTID,
BR_IM_PRD_GET_NEW_LOTID_CUSTOMER,
BR_IM_PRD_GET_CUSTOMER_FOR_PACKING,
BR_IM_PRD_REG_PACKINGWORKORDER,
DA_IM_PRD_SEL_LOT_BLENDER_BOXSAMPLE,
DA_IM_BAS_UPD_TB_SFC_PACKINGWORKORDER,
DA_IM_PRD_SEL_LOT_BLENDER_BOXLIST,
BR_IM_PRD_REG_PACK_CONFIRM_CANCEL,
Br_IM_PRD_REG_PACK_CONFIRM_SAMPLE,
BR_IM_PRD_REG_PACKINGWORKORDER_DEL,
BR_IM_CIM_REG_DELETE_LOT_LB</t>
        </is>
      </c>
      <c r="F6" s="68" t="n"/>
      <c r="G6" s="68" t="n"/>
      <c r="H6" s="68" t="n"/>
      <c r="I6" s="68" t="n"/>
    </row>
    <row r="7" ht="105" customHeight="1" s="121">
      <c r="A7" s="68" t="n"/>
      <c r="B7" s="68" t="n"/>
      <c r="C7" s="69" t="inlineStr">
        <is>
          <t>GMES_IMES_2802</t>
        </is>
      </c>
      <c r="D7" s="68" t="n"/>
      <c r="E7" s="70" t="inlineStr">
        <is>
          <t>BR_IM_SEL_AREA_CBO,
COR_SEL_MATERIALTYPE_CBO,
BR_IM_SEL_PRODUCTGROUP_BY_AREA_CBO,
BR_IM_SEL_PROCESSSEGMENT_BY_PCSGID_CBO,
BR_IM_SEL_EQUIPMENTSEGMENT_BY_PCGSID_CBO,
BR_COM_GET_COMMONCODE_CBO,
DA_IM_STK_SEL_SAMPLE_LOT</t>
        </is>
      </c>
      <c r="F7" s="68" t="n"/>
      <c r="G7" s="68" t="n"/>
      <c r="H7" s="68" t="n"/>
      <c r="I7" s="68" t="n"/>
    </row>
    <row r="8" ht="15.75" customHeight="1" s="121">
      <c r="A8" s="68" t="n"/>
      <c r="B8" s="68" t="n"/>
      <c r="C8" s="68" t="n"/>
      <c r="D8" s="68" t="n"/>
      <c r="E8" s="68" t="n"/>
      <c r="F8" s="68" t="n"/>
      <c r="G8" s="68" t="n"/>
      <c r="H8" s="68" t="n"/>
      <c r="I8" s="68" t="n"/>
    </row>
    <row r="9" ht="15.75" customHeight="1" s="121">
      <c r="A9" s="68" t="n"/>
      <c r="B9" s="68" t="n"/>
      <c r="C9" s="68" t="n"/>
      <c r="D9" s="68" t="n"/>
      <c r="E9" s="68" t="n"/>
      <c r="F9" s="68" t="n"/>
      <c r="G9" s="68" t="n"/>
      <c r="H9" s="68" t="n"/>
      <c r="I9" s="68" t="n"/>
    </row>
    <row r="10" ht="15.75" customHeight="1" s="121">
      <c r="A10" s="68" t="n"/>
      <c r="B10" s="68" t="n"/>
      <c r="C10" s="68" t="inlineStr">
        <is>
          <t>GMES_IMES_0100_BM</t>
        </is>
      </c>
      <c r="D10" s="68" t="inlineStr">
        <is>
          <t xml:space="preserve"> Work Order Inquiry</t>
        </is>
      </c>
      <c r="E10" s="70" t="inlineStr">
        <is>
          <t>DA_PRD_SEL_WIP_CLOSE_MONTH_OR_DATE
BR_IM_SEL_AREA_CBO</t>
        </is>
      </c>
      <c r="F10" s="68" t="n"/>
      <c r="G10" s="68" t="n"/>
      <c r="H10" s="68" t="inlineStr"/>
      <c r="I10" s="71" t="inlineStr">
        <is>
          <t>vẫn phân tích màn GMES_IMES_0207</t>
        </is>
      </c>
    </row>
    <row r="11" ht="105" customHeight="1" s="121">
      <c r="A11" s="68" t="n"/>
      <c r="B11" s="68" t="n"/>
      <c r="C11" s="68" t="inlineStr">
        <is>
          <t>GMES_IMES_0120</t>
        </is>
      </c>
      <c r="D11" s="68" t="inlineStr">
        <is>
          <t>Phiếu yêu cầu công việc đối tác</t>
        </is>
      </c>
      <c r="E11" s="70" t="inlineStr">
        <is>
          <t>BR_IM_SEL_AREA_CBO
BR_COM_SEL_COMMONCODE_CBO
BR_IM_PRD_SEL_COWORKREQUEST
DA_BAS_SEL_AREA_CBO
------------------GMES_COM_0006------------
DA_COM_SEL_USERINFO</t>
        </is>
      </c>
      <c r="F11" s="68" t="n"/>
      <c r="G11" s="68" t="n"/>
      <c r="H11" s="68" t="n"/>
      <c r="I11" s="68" t="n"/>
    </row>
    <row r="12" ht="403.5" customHeight="1" s="121">
      <c r="A12" s="68" t="n"/>
      <c r="B12" s="68" t="n"/>
      <c r="C12" s="68" t="inlineStr">
        <is>
          <t>GMES_IMES_0203</t>
        </is>
      </c>
      <c r="D12" s="68" t="inlineStr">
        <is>
          <t>Material LOT receipt / subdivision (자재입고 · 소분)</t>
        </is>
      </c>
      <c r="E12" s="70" t="inlineStr">
        <is>
          <t xml:space="preserve">BR_IM_REG_MATERIALLOT_SPLIT_CANCEL
BR_IM_REG_MATERIALLOT_UPDELETE
BR_IM_INF_IQCPASS
BR_PRD_SEL_MATERIALLOT_SUPP
BR_IM_REG_MATERIALLOT_SUPP
DA_IM_PRD_SEL_MATERIALLOT_SUPPLIERMATERIAL_SPLIT
DA_IM_PRD_SEL_MTRL_SUBDIVISION_INFO_MLOT_PR
BR_CUS_REG_RETURN_MATERIALLOT_NJ
BR_IM_REG_MATERIALLOT
BR_PRD_SEL_MATERIALLOT_SUPP_LIST
DA_PRD_SEL_TRANSORDER_LIST
BR_IM_SEL_AREA_CBO
DA_IM_COM_SEL_WAREHOUSE_CBO
BR_IM_COM_GET_PRODUCTGROUP_AREA_CBO
DA_IM_COM_SEL_PROCESS_BY_PCSGID_CBO
BR_IM_SEL_EQUIPMENTSEGMENT_BY_PCGSID_CBO
BR_IM_COM_GET_EQUIPMENT_ISP_CBO
BR_COM_SEL_COMMONCODE_CBO
BR_IM_COM_GET_COMMONCODE
COR_SEL_LOTTYPE_CBO
BR_IM_SEL_PRODUCTGROUP_BY_AREA_CBO
BR_IM_SEL_PROCESSSEGMENT_BY_PCSGID_CBO
DA_IM_SEL_BLENDER_EQPT_CBO
DA_IM_BAS_SEL_AREA_PCSGID_CBO
</t>
        </is>
      </c>
      <c r="F12" s="68" t="n"/>
      <c r="G12" s="68" t="n"/>
      <c r="H12" s="68" t="n"/>
      <c r="I12" s="68" t="n"/>
    </row>
    <row r="13" ht="280.5" customHeight="1" s="121">
      <c r="A13" s="68" t="n"/>
      <c r="B13" s="68" t="n"/>
      <c r="C13" s="68" t="inlineStr">
        <is>
          <t>GMES_IMES_0225</t>
        </is>
      </c>
      <c r="D13" s="68" t="inlineStr">
        <is>
          <t>Small packing (소분 포장)</t>
        </is>
      </c>
      <c r="E13" s="70" t="inlineStr">
        <is>
          <t xml:space="preserve">BR_IM_PRD_SEL_LOT_SMALL_PACKING
DA_IM_PRD_SEL_LOT_SMALL_PACKING_BOXLIST
BR_IM_COM_REG_CREATE_BOX_MERGE
BR_IM_COM_GET_COMMONCODE
BR_IM_SEL_AREA_CBO
BR_IM_SEL_PRODUCTGROUP_BY_AREA_CBO
BR_IM_SEL_PROCESSSEGMENT_BY_PCSGID_CBO
BR_IM_SEL_EQUIPMENTSEGMENT_BY_PCGSID_CBO
BR_IM_SEL_PROCESS_BY_PCSGID_CBO_M
BR_IM_SEL_PROCESS_BY_PCSGID_CBO
BR_IM_SEL_EQUIPMENT_SHOP_CBO
DA_IM_PRD_SEL_LOT_BLENDER_BOXLIST
BR_IM_PRD_REG_LOT_SMALL_PACKING
BR_IM_PRD_CHK_PACK_SMALL_PACKING
BR_IM_PRD_REG_LOT_SMALL_PACKING_SPLIT
BR_IM_PRD_REG_CREATE_BATCH_LB_MTM
</t>
        </is>
      </c>
      <c r="F13" s="68" t="n"/>
      <c r="G13" s="68" t="n"/>
      <c r="H13" s="68" t="n"/>
      <c r="I13" s="68" t="n"/>
    </row>
    <row r="14" ht="360" customHeight="1" s="121">
      <c r="A14" s="68" t="n"/>
      <c r="B14" s="68" t="n"/>
      <c r="C14" s="68" t="inlineStr">
        <is>
          <t>GMES_IMES_0226</t>
        </is>
      </c>
      <c r="D14" s="68" t="inlineStr">
        <is>
          <t>Blender / Pilot packing work order</t>
        </is>
      </c>
      <c r="E14" s="70" t="inlineStr">
        <is>
          <t xml:space="preserve">BR_IM_PRD_GET_LOT_BLENDERINFO
DA_IM_PRD_SEL_LOT_BLENDER_SAMPLELIST
DA_IM_BAS_UPD_TB_SFC_PACKINGWORKORDER_PILOT
DA_IM_PRD_SEL_LOT_BLENDER_BOXLIST
DA_IM_BAS_SEL_EQUIPMENTATTR_TBL
BR_IM_PRD_GET_WORKORDER_LB
BR_IM_COM_REG_UPDATE_LOT_LB
BR_IM_PRD_REG_PACK_CONFIRM_CANCEL
BR_IM_PRD_REG_PACK_CONFIRM_PILOT
BR_IM_PRD_REG_PACK_CONFIRM_BOX
BR_IM_PRD_REG_PACKINGWORKORDER_DEL
BR_IM_COM_REG_DELETE_LOT_LB
BR_IM_COM_REG_CREATE_BOX_MERGE
BR_IM_COM_GET_LABEL
DA_IM_COM_SEL_COMMONCODE_BY_ATTRIBUTE
BR_IM_SEL_AREA_CBO
BR_IM_SEL_PRODUCTGROUP_BY_AREA_CBO
BR_IM_SEL_PROCESSSEGMENT_BY_PCSGID_CBO
BR_IM_SEL_EQUIPMENTSEGMENT_BY_PCGSID_CBO
BR_IM_SEL_PROCESS_BY_PCSGID_CBO
BR_IM_SEL_EQUIPMENT_SHOP_CBO
DA_IM_SEL_BLENDER_EQPT_CBO
</t>
        </is>
      </c>
      <c r="F14" s="68" t="n"/>
      <c r="G14" s="68" t="n"/>
      <c r="H14" s="68" t="n"/>
      <c r="I14" s="68" t="n"/>
    </row>
    <row r="15" ht="164.25" customHeight="1" s="121">
      <c r="A15" s="68" t="n"/>
      <c r="B15" s="68" t="n"/>
      <c r="C15" s="68" t="inlineStr">
        <is>
          <t>GMES_IMES_0239</t>
        </is>
      </c>
      <c r="D15" s="68" t="inlineStr">
        <is>
          <t>Equipment daily inspection (LMS) info</t>
        </is>
      </c>
      <c r="E15" s="70" t="inlineStr">
        <is>
          <t xml:space="preserve">DA_IM_SEL_PERSON_BY_EQPT
BR_IM_PRD_REG_EQUIPMENTNOTE
BR_IM_LMS_GET_EQPT_INSP_DAILY_INFO
BR_IM_SEL_EQUIPMENT_SHOP_CBO
BR_IM_SEL_AREA_CBO
BR_IM_SEL_PRODUCTGROUP_BY_AREA_CBO
BR_IM_SEL_PROCESS_BY_PCSGID_CBO
BR_IM_SEL_PROCESSSEGMENT_BY_PCSGID_CBO
BR_IM_SEL_EQUIPMENTSEGMENT_BY_PCGSID_CBO
</t>
        </is>
      </c>
      <c r="F15" s="68" t="n"/>
      <c r="G15" s="68" t="n"/>
      <c r="H15" s="68" t="n"/>
      <c r="I15" s="68" t="n"/>
    </row>
    <row r="16" ht="285" customHeight="1" s="121">
      <c r="A16" s="68" t="n"/>
      <c r="B16" s="68" t="n"/>
      <c r="C16" s="68" t="inlineStr">
        <is>
          <t>GMES_IMES_0240</t>
        </is>
      </c>
      <c r="D16" s="68" t="inlineStr">
        <is>
          <t>Measurement data management</t>
        </is>
      </c>
      <c r="E16" s="70" t="inlineStr">
        <is>
          <t xml:space="preserve">DA_IM_PRD_SEL_WIPCLOSE
DA_IM_SEL_PC_LIST
DA_IM_BAS_SEL_EQUIPMENTSEGMENT_TBL
BR_IM_LMS_SEL_RTY_INFO
BR_IM_LMS_REG_MEASURE_DATA
BR_IM_PRD_REG_MEASREMENT
BR_IM_SEL_AREA_CBO
BR_IM_SEL_PRODUCTGROUP_BY_AREA_CBO
BR_IM_SEL_PROCESS_BY_PCSGID_CBO
BR_IM_SEL_PROCESSSEGMENT_BY_PCSGID_CBO
BR_IM_SEL_EQUIPMENTSEGMENT_BY_PCGSID_CBO_FOR_MEASURE
BR_CUS_SEL_COMMONCODE_CBO_CMCODE
BR_IM_SEL_EQUIPMENT_SHOP_CBO
BR_IM_COM_GET_COMMONCODE_CBO
BR_IM_PRD_CHK_EXCELDATA
</t>
        </is>
      </c>
      <c r="F16" s="68" t="n"/>
      <c r="G16" s="68" t="n"/>
      <c r="H16" s="68" t="n"/>
      <c r="I16" s="68" t="n"/>
    </row>
    <row r="17" ht="343.5" customHeight="1" s="121">
      <c r="A17" s="68" t="n"/>
      <c r="B17" s="68" t="n"/>
      <c r="C17" s="68" t="inlineStr">
        <is>
          <t>GMES_IMES_2612</t>
        </is>
      </c>
      <c r="D17" s="68" t="inlineStr">
        <is>
          <t>WIP close &amp; ERP posting (재공마감 · ERP 전송)</t>
        </is>
      </c>
      <c r="E17" s="70" t="inlineStr">
        <is>
          <t xml:space="preserve">BR_IM_PRD_UPD_WIPCLOSE_PACK
BR_IM_PRD_REG_LOT_PROD_LOTMATERIALHISTORY
BR_IM_UPD_WORKORDER_CLOSE
BR_IM_PRD_UPD_WIPCLOSE
BR_IM_REG_WORKORDER_CLOSE_ERP_SND
BR_IM_INF_REG_ERP_MATERIAL_SEND
BR_IM_INF_REG_ERP_MOVESTOCK_SEND
BR_IM_REG_PACK_CLOSE_ERP_SND
BR_IM_REG_WORKORDER_CLOSE_DIV_ERP_SND
BR_IM_INF_REG_ERP_PROD_SEND
BR_IM_PRD_SEL_WIPCOUNTACTHISTORY_WO_PROD
BR_IM_SEL_WORKORDER_WIPCLOSEMONTH
BR_IM_PRD_SEL_WIPCOUNT_BY_EQSG
BR_IM_PRD_SEL_ERPPOSTRESULT_WIP
BR_IM_PRD_SEL_WIPCOUNT_ERPPOSTRESULT_PROD
BR_IM_PRD_SEL_WIPCOUNT_ERPPOSTRESULT_WO
BR_IM_PRD_SEL_WIPCOUNT_PACK_WIP
BR_IM_PRD_SEL_WIPCOUNT_STATE
BR_IM_PRD_SEL_WIPCLOSEACTHISTORY_ERP_LIST
BR_IM_SEL_AREA_CBO
BR_IM_SEL_PRODUCTGROUP_BY_AREA_CBO
</t>
        </is>
      </c>
      <c r="F17" s="68" t="n"/>
      <c r="G17" s="68" t="n"/>
      <c r="H17" s="68" t="n"/>
      <c r="I17" s="68" t="n"/>
    </row>
    <row r="18" ht="92.25" customHeight="1" s="121">
      <c r="A18" s="68" t="n"/>
      <c r="B18" s="68" t="n"/>
      <c r="C18" s="68" t="inlineStr">
        <is>
          <t>GMES_IMES_0205</t>
        </is>
      </c>
      <c r="D18" s="68" t="inlineStr">
        <is>
          <t>Xác nhận nhập nguyên liệu [Đơn vị ngoài]</t>
        </is>
      </c>
      <c r="E18" s="70" t="inlineStr">
        <is>
          <t>BR_IM_REG_MATERIALLOT_UPCREATE
BR_IM_REG_MATERIALLOT_UPDELETE
BR_COM_GET_COMMONCODE_CBO
BR_IM_COM_GET_PRODUCTGROUP_AREA_CBO
BR_IM_COM_GET_EQSG_BY_PDGR_EXCLUDE
BR_IM_COM_GET_EQUIPMENT_ISP_CBO
BR_COM_SEL_COMMONCODE_CBO
BR_IM_PRD_CHK_MATERIALLOT_WMS_SUPP
BR_IM_PRD_SEL_MATERIALLOT_WMS
BR_IM_COM_GET_COMMONCODE
DA_IM_BAS_SEL_AREA_PCSGID_CBO
DA_IM_COM_SEL_PROCESS_BY_PCSGID_CBO
DA_IM_COM_SEL_WAREHOUSE_CBO
DA_COM_SEL_STORAGELOCATION_BY_EQSGID</t>
        </is>
      </c>
      <c r="F18" s="68" t="n"/>
      <c r="G18" s="68" t="n"/>
      <c r="H18" s="68" t="n"/>
      <c r="I18" s="68" t="n"/>
    </row>
    <row r="19" ht="409.5" customHeight="1" s="121">
      <c r="A19" s="68" t="n"/>
      <c r="B19" s="68" t="n"/>
      <c r="C19" s="68" t="inlineStr">
        <is>
          <t>GMES_IMES_0228</t>
        </is>
      </c>
      <c r="D19" s="68" t="inlineStr">
        <is>
          <t>Quản lý thành tích đóng gói [Yêu cầu phân tích]</t>
        </is>
      </c>
      <c r="E19" s="70" t="inlineStr">
        <is>
          <t>BR_IN_PRD_GET_LOT_BLENDERINFO
BR_IM_SEL_AREA_CBO
BR_IM_SEL_PRODUCTGROUP_BY_AREA_CBO
BR_IM_SEL_PROCESSSEGMENT_BY_PCSGID_CBO
BR_IM_SEL_EQUIPMENTSEGMENT_BY_PCGSID_CBO
BR_IM_SEL_PROCESS_BY_PCSGID_CBO_M
BR_IM_SEL_PROCESS_BY_PCSGID_CBO
BR_IM_SEL_EQUIPMENT_SHOP_CBO
BR_IM_PRD_GET_WORKORDER_LB
BR_IM_COM_REG_UPDATE_LOT_LB
BR_IM_PRD_REG_PACK_COMFRM_CANCEL
BR_IM_PRD_REG_PACK_COMFRM_PILOT
BR_IM_PRD_REG_PACK_COMFRM_BOX_M
BR_IM_PRD_REG_PACK_COMFRM_BOX
BR_IM_PRD_REG_PACK_PACKINGWORKORDER_DEL
BR_IM_PRD_REG_DELETE_LOT_LB
BR_IM_PRD_REG_CREATE_BOX_MERGE
DA_IM_COM_SEL_COMMONCODE_BY_ATTRIBUTE
DA_IM_PRD_SEL_EQPTID_FOR_PACKINGORDER
DA_IM_PRD_SEL_LOT_BLENDER_SAMPLELIST
DA_IM_BAS_UPU_TB_SFC_PACKINGWORKORDER_PILOT
DA_IM_PRD_SEL_LOT_BLENDER_BOXLIST
DA_IM_SEL_BLENDER_EQPT_CBO
------------------GMES_COM_0003----------------
DA_PRD_GET_WORKORDER_PARTNO
------------------GMES_IMES_0228_02----------------
BR_IM_PRD_REG_CREATE_CATCH_LB_QCREQUEST
BR_IM_PRD_GET_NEW_LOTID_LB_START
------------------GMES_IMES_0228_03----------------
DA_IM_BAS_SEL_LOTATTR_MULITI
BR_IM_COM_GET_COMMONCODE
BR_IM_SEL_GET_COMMONCODE
------------------GMES_IMES_0220_09----------------
BR_IM_COM_GET_COMMONCODE
BR_IM_COM_GET_LABEL_WIPREASONCOLLECT
BR_IM_COM_GET_LABLE</t>
        </is>
      </c>
      <c r="F19" s="68" t="n"/>
      <c r="G19" s="68" t="n"/>
      <c r="H19" s="68" t="n"/>
      <c r="I19" s="68" t="n"/>
    </row>
    <row r="20" ht="15.75" customHeight="1" s="121">
      <c r="A20" s="68" t="n"/>
      <c r="B20" s="68" t="n"/>
      <c r="C20" s="68" t="inlineStr">
        <is>
          <t>GMES_IMES_0272</t>
        </is>
      </c>
      <c r="D20" s="68" t="n"/>
      <c r="E20" s="68" t="n"/>
      <c r="F20" s="68" t="n"/>
      <c r="G20" s="68" t="n"/>
      <c r="H20" s="68" t="n"/>
      <c r="I20" s="68" t="n"/>
    </row>
    <row r="21" ht="120" customHeight="1" s="121">
      <c r="A21" s="68" t="n"/>
      <c r="B21" s="68" t="n"/>
      <c r="C21" s="68" t="inlineStr">
        <is>
          <t>GMES_IMES_0279</t>
        </is>
      </c>
      <c r="D21" s="112" t="inlineStr">
        <is>
          <t>Bảng tình trạng nhật ký</t>
        </is>
      </c>
      <c r="E21" s="70" t="inlineStr">
        <is>
          <t>BR_IM_PRD_SEL_DYRD_DASHBOARD
BR_IM_SEL_AREA_CBO
BR_IM_SEL_EQUIPMENTSEGMENT_BY_PCGSID_CBO
DA_IM_BAS_SEL_DAILYRECORD_TEMPLATE
DA_IM_PRD_SEL_DYRD_COMMON
DA_IM_BAS_SEL_DAYLYRECORD_MONTH_DAY_WEEK
DA_IM_BAS_SEL_DAYLYRECORD_TYPE</t>
        </is>
      </c>
      <c r="F21" s="133" t="inlineStr">
        <is>
          <t>BR
DA
DA
DA
BR
BR
COR
DA</t>
        </is>
      </c>
      <c r="G21" s="133" t="inlineStr">
        <is>
          <t>Query production daily record dashboard
Query daily record template
Query production daily record common
Query daily record month Day Week
Query area combobox list
Query equipment segment By process-group combobox list
Query equipment segment By area
Query daily record Type</t>
        </is>
      </c>
      <c r="H21" s="68" t="n"/>
      <c r="I21" s="68" t="n"/>
    </row>
    <row r="22" ht="120" customHeight="1" s="121">
      <c r="A22" s="68" t="n"/>
      <c r="B22" s="68" t="n"/>
      <c r="C22" s="68" t="inlineStr">
        <is>
          <t>GMES_IMES_0555</t>
        </is>
      </c>
      <c r="D22" s="48" t="inlineStr">
        <is>
          <t>Tra cứu tình trạng kho</t>
        </is>
      </c>
      <c r="E22" s="70" t="inlineStr">
        <is>
          <t>BR_IM_STK_GET_RACK_LOTID
BR_IM_SEL_AREA_CBO
BR_IM_SEL_PROCESS_BY_PCSGID_CBO
BR_IM_SEL_EQUIPMENTSEGMENT_BY_PCGSID_CBO
BR_IM_SEL_PROCESSSEGMENT_BY_PCSGID_CBO
DA_IM_COM_SEL_COMMONCODE_BY_ATTRIBUTE
DA_IM_COM_SEL_WAREHOUSE_CBO</t>
        </is>
      </c>
      <c r="F22" s="68" t="n"/>
      <c r="G22" s="68" t="n"/>
      <c r="H22" s="68" t="n"/>
      <c r="I22" s="68" t="n"/>
    </row>
    <row r="23" ht="180" customHeight="1" s="121">
      <c r="A23" s="68" t="n"/>
      <c r="B23" s="68" t="n"/>
      <c r="C23" s="68" t="inlineStr">
        <is>
          <t>GMES_IMES_2602</t>
        </is>
      </c>
      <c r="D23" s="48" t="inlineStr">
        <is>
          <t>Điều chỉnh bán thành phẩm</t>
        </is>
      </c>
      <c r="E23" s="70" t="inlineStr">
        <is>
          <t>BR_IM_SEL_AREA_CBO
BR_IM_SEL_PRODUCTGROUP_BY_AREA_CBO
BR_IM_SEL_PROCESS_BY_PCGID_CBO
BR_IM_SEL_PROCESSSEGMENT_BY_PCSGID_CBO
BR_IM_SEL_EQUIPMENTSEGMENT_BY_PCGSID_CBO
BR_COM_GET_EQSG_BY_PDGR_EXCLUDE
BR_IM_SEL_EQUIPMENT_SHOP_CBO
BR_IM_PRD_SEL_EQUIPMENTLOT_LMS_QTY
BR_IM_PRD_SEL_EQUIPMENTLOT_WIP_QTY
DA_IM_PRD_SEL_EQUIPMENTLOT_SUM
DA_BAS_SEL_COMMONCODE_CBO</t>
        </is>
      </c>
      <c r="F23" s="68" t="n"/>
      <c r="G23" s="68" t="n"/>
      <c r="H23" s="68" t="n"/>
      <c r="I23" s="68" t="n"/>
    </row>
    <row r="24" ht="150" customHeight="1" s="121">
      <c r="A24" s="68" t="n"/>
      <c r="B24" s="68" t="n"/>
      <c r="C24" s="68" t="inlineStr">
        <is>
          <t>GMES_IMES_0241</t>
        </is>
      </c>
      <c r="D24" s="68" t="inlineStr">
        <is>
          <t>Tra cứu định mức oxy/bình chứa theo sản phẩm</t>
        </is>
      </c>
      <c r="E24" s="70" t="inlineStr">
        <is>
          <t>BR_IM_SEL_AREA_CBO
BR_IM_SEL_PRODUCTGROUP_BY_AREA_CBO 
BR_IM_SEL_PROCESSSEGMENT_BY_PCSGID_CBO
BR_IM_SEL_EQUIPMENTSEGMENT_BY_PCGSID_CBO
BR_IM_SEL_PROCESS_BY_PCSGID_CBO
BR_IM_SEL_EQUIPMENT_SHOP_CBO
BR_IM_PRD_SEL_SMALL_PACKING_LOT_HISTORY
BR_IM_COM_REG_DELETE_LOT_BOX
DA_IM_PRD_SEL_SAMLL_PACKING_LOT_HISTORY</t>
        </is>
      </c>
      <c r="F24" s="68" t="n"/>
      <c r="G24" s="68" t="n"/>
      <c r="H24" s="68" t="n"/>
      <c r="I24" s="68" t="n"/>
    </row>
    <row r="25" ht="60" customHeight="1" s="121">
      <c r="A25" s="68" t="n"/>
      <c r="B25" s="68" t="n"/>
      <c r="C25" s="68" t="inlineStr">
        <is>
          <t>GMES_IMES_0274</t>
        </is>
      </c>
      <c r="D25" s="46" t="inlineStr">
        <is>
          <t>Quản lý hình ảnh hướng dẫn</t>
        </is>
      </c>
      <c r="E25" s="70" t="inlineStr">
        <is>
          <t>BR_IM_PRD_REG_DYRD_GID_IMG_IMS
BR_IM_PRD_SEL_DYRD_GID_IMG
DA_IM_BAS_SEL_DAILYRECORD_TEMPLATE</t>
        </is>
      </c>
      <c r="F25" s="68" t="n"/>
      <c r="G25" s="68" t="n"/>
      <c r="H25" s="68" t="n"/>
      <c r="I25" s="68" t="n"/>
    </row>
    <row r="26" ht="75" customHeight="1" s="121">
      <c r="A26" s="68" t="n"/>
      <c r="B26" s="68" t="n"/>
      <c r="C26" s="68" t="inlineStr">
        <is>
          <t>GMES_IMS_2543</t>
        </is>
      </c>
      <c r="D26" s="46" t="inlineStr">
        <is>
          <t>Tra cứu và hủy MTM</t>
        </is>
      </c>
      <c r="E26" s="70" t="inlineStr">
        <is>
          <t>BR_COM_GET_AREA_CBO
BR_MTM_CNC_PROC
DA_MTM_SEL_HEADER
DA_MTM_SEL_DETAIL</t>
        </is>
      </c>
      <c r="F26" s="68" t="n"/>
      <c r="G26" s="68" t="n"/>
      <c r="H26" s="68" t="n"/>
      <c r="I26" s="68" t="n"/>
    </row>
    <row r="27" ht="121.5" customHeight="1" s="121">
      <c r="A27" s="68" t="n"/>
      <c r="B27" s="68" t="n"/>
      <c r="C27" s="68" t="inlineStr">
        <is>
          <t>GMES_IMES_0803</t>
        </is>
      </c>
      <c r="D27" s="68" t="inlineStr">
        <is>
          <t>Lịch sử đóng gói nhỏ GP</t>
        </is>
      </c>
      <c r="E27" s="70" t="inlineStr">
        <is>
          <t>BR_IM_SEL_AREA_CBO
BR_IM_SEL_PRODUCTGROUP_BY_AREA_CBO
BR_IM_SEL_PROCESS_BY_PCGID_CBO
BR_IM_SEL_PROCESSSEGMENT_BY_PCSGID_CBO
BR_IM_SEL_EQUIPMENTSEGMENT_BY_PCGSID_CBO
BR_IM_SEL_PROCESS_BY_PCSGID_CBO
BR_IM_SEL_EQUIPMENT_SHOP_CBO
BR_IM_PRD_SEL_SMALL_PACKING_GPBOXLIST</t>
        </is>
      </c>
      <c r="F27" s="68" t="n"/>
      <c r="G27" s="68" t="n"/>
      <c r="H27" s="68" t="n"/>
      <c r="I27" s="68" t="n"/>
    </row>
    <row r="28" ht="137.25" customHeight="1" s="121">
      <c r="A28" s="68" t="n"/>
      <c r="B28" s="68" t="n"/>
      <c r="C28" s="68" t="inlineStr">
        <is>
          <t>GMES_IMES_0800</t>
        </is>
      </c>
      <c r="D28" s="46" t="inlineStr">
        <is>
          <t>Lịch sử nhập đóng gói nhỏ</t>
        </is>
      </c>
      <c r="E28" s="70" t="inlineStr">
        <is>
          <t>BR_IM_SEL_AREA_CBO
BR_IM_SEL_PRODUCTGROUP_BY_AREA_CBO
BR_IM_SEL_PROCESSSEGMENT_BY_PCSGID_CBO
BR_IM_SEL_EQUIPMENTSEGMENT_BY_PCGSID_CBO
BR_IM_SEL_PROCESS_BY_PCSGID_CBO
BR_IM_SEL_EQUIPMENT_SHOP_CBO
BR_IM_PRD_SEL_SMALL_PACKING_INPUT_HISTORY
DA_IM_PRD_SEL_SMALL_PACKING_HISTORY</t>
        </is>
      </c>
      <c r="F28" s="68" t="n"/>
      <c r="G28" s="68" t="n"/>
      <c r="H28" s="68" t="n"/>
      <c r="I28" s="68" t="n"/>
    </row>
    <row r="29" ht="108" customHeight="1" s="121">
      <c r="A29" s="68" t="n"/>
      <c r="B29" s="68" t="n"/>
      <c r="C29" s="68" t="inlineStr">
        <is>
          <t>GMES_IMES_0423</t>
        </is>
      </c>
      <c r="D29" s="46" t="inlineStr">
        <is>
          <t>Tra cứu I/F kho tự động</t>
        </is>
      </c>
      <c r="E29" s="70" t="inlineStr">
        <is>
          <t>BR_IM_SEL_AREA_CBO
DA_IM_BAS_SEL_WAREHOUSEORDER_IF
DA_IM_BAS_SEL_TB_EAI_WCS_MOVEHISTORY_R_TRANSRESULT
DA_IM_COM_SEL_WAREHOUSE_CBO</t>
        </is>
      </c>
      <c r="F29" s="68" t="n"/>
      <c r="G29" s="68" t="n"/>
      <c r="H29" s="68" t="n"/>
      <c r="I29" s="68" t="n"/>
    </row>
    <row r="30" ht="15.75" customHeight="1" s="121">
      <c r="A30" s="68" t="n"/>
      <c r="B30" s="68" t="n"/>
      <c r="C30" s="68" t="n"/>
      <c r="D30" s="68" t="n"/>
      <c r="E30" s="68" t="n"/>
      <c r="F30" s="68" t="n"/>
      <c r="G30" s="68" t="n"/>
      <c r="H30" s="68" t="n"/>
      <c r="I30" s="68" t="n"/>
    </row>
    <row r="31" ht="15.75" customHeight="1" s="121">
      <c r="A31" s="68" t="n"/>
      <c r="B31" s="68" t="n"/>
      <c r="C31" s="68" t="inlineStr">
        <is>
          <t>GMES_IMES_0257</t>
        </is>
      </c>
      <c r="D31" s="133" t="inlineStr">
        <is>
          <t>Chỉ số DataLake</t>
        </is>
      </c>
      <c r="E31" s="133" t="inlineStr">
        <is>
          <t xml:space="preserve">BR_IM_SEL_AREA_CBO
BR_IM_SEL_PRODUCTGROUP_BY_AREA_CBO
BR_IM_SEL_EQUIPMENTSEGMENT_BY_PCGSID_CBO
</t>
        </is>
      </c>
      <c r="F31" s="133" t="inlineStr">
        <is>
          <t>BR
BR
BR</t>
        </is>
      </c>
      <c r="G31" s="133" t="inlineStr">
        <is>
          <t>Query area combobox list
Query product group By area combobox list
Query equipment segment By process-group combobox list</t>
        </is>
      </c>
      <c r="H31" s="68" t="n"/>
      <c r="I31" s="68" t="n"/>
    </row>
    <row r="32" ht="15.75" customHeight="1" s="121">
      <c r="A32" s="68" t="n"/>
      <c r="B32" s="68" t="n"/>
      <c r="C32" s="68" t="inlineStr">
        <is>
          <t>GMES_IMES_0312</t>
        </is>
      </c>
      <c r="D32" s="133" t="inlineStr">
        <is>
          <t>Tra cứu thành tích tái xử lý [Quản trị]</t>
        </is>
      </c>
      <c r="E32" s="133" t="inlineStr">
        <is>
          <t xml:space="preserve">DA_PRD_SEL_COMMONCODE_REPROC_SUM
DA_PRD_SEL_WIP_CLOSE_MONTH_OR_DATE
BR_IM_SEL_AREA_CBO
BR_IM_SEL_PRODUCTGROUP_BY_AREA_CBO
BR_IM_SEL_PROCESS_BY_PCSGID_CBO
BR_IM_SEL_PROCESSSEGMENT_BY_PCSGID_CBO
BR_IM_SEL_EQUIPMENTSEGMENT_BY_PCGSID_CBO
BR_IM_SEL_EQUIPMENT_SHOP_CBO
DA_PRD_SEL_MLOT_BY_EQPT_REPROC_SUM_NEW
</t>
        </is>
      </c>
      <c r="F32" s="133" t="inlineStr">
        <is>
          <t>DA
DA
BR
BR
BR
BR
BR
BR
DA</t>
        </is>
      </c>
      <c r="G32" s="133" t="inlineStr">
        <is>
          <t>Query production common code reprocess Sum
Query production WIP closing month Or Date
Query area combobox list
Query product group By area combobox list
Query process By process-seg combobox list
Query process segment By process-seg combobox list
Query equipment segment By process-group combobox list
Query equipment shop combobox list
Query production material LOT By equipment reprocess Sum new</t>
        </is>
      </c>
      <c r="H32" s="68" t="n"/>
      <c r="I32" s="68" t="n"/>
    </row>
    <row r="33" ht="15.75" customHeight="1" s="121">
      <c r="A33" s="68" t="n"/>
      <c r="B33" s="68" t="n"/>
      <c r="C33" s="68" t="inlineStr">
        <is>
          <t>GMES_IMES_0530</t>
        </is>
      </c>
      <c r="D33" s="133" t="inlineStr">
        <is>
          <t>Kết quả I/F ERP [Thành tích]</t>
        </is>
      </c>
      <c r="E33" s="133" t="inlineStr">
        <is>
          <t xml:space="preserve">BR_COM_GET_EQUIPMENT_CBO
DA_PRD_SEL_EQSGID_PROD_RST
BR_COM_GET_PRODUCTGROUP_AREA_CBO
DA_BAS_SEL_AREA_CBO
BR_COM_GET_COMMONCODE_CBO
DA_PRD_SEL_ERP_IF_PROD
DA_IM_PRD_SEL_ERP_IF_MATERIAL_INPUT
DA_PRD_SEL_ERP_IF_MATERIAL_INPUT
BR_INF_REG_ERP_PRODRESULT_BUDAT
DA_BAS_SEL_TB_SFC_WIPCLOSEMONTH
DA_PRD_UPD_ERP_IF_PROD_TRANSFLAG
DA_PRD_UPD_ERP_IF_MATERIAL_INPUT_TRANSFLAG
</t>
        </is>
      </c>
      <c r="F33" s="133" t="inlineStr">
        <is>
          <t>BR
DA
BR
DA
BR
DA
DA
DA
BR
DA
DA
DA</t>
        </is>
      </c>
      <c r="G33" s="133" t="inlineStr">
        <is>
          <t>Get equipment combobox list
Query production equipment-seg production result Rst
Get product group area combobox list
Query area combobox list
Get common code combobox list
Query production ERP I/F production result
Query production ERP I/F material input
Query production ERP I/F material input
Register/Insert interface ERP production result posting date
Query Tb shop-floor WIP close month
Update production ERP I/F production result transfer flag
Update production ERP I/F material input transfer flag</t>
        </is>
      </c>
      <c r="H33" s="68" t="n"/>
      <c r="I33" s="68" t="n"/>
    </row>
    <row r="34" ht="15.75" customHeight="1" s="121">
      <c r="A34" s="68" t="n"/>
      <c r="B34" s="68" t="n"/>
      <c r="C34" s="68" t="inlineStr">
        <is>
          <t>GMES_IMES_0531</t>
        </is>
      </c>
      <c r="D34" s="133" t="inlineStr">
        <is>
          <t>Kết quả I/F ERP [Kỳ trước]</t>
        </is>
      </c>
      <c r="E34" s="133" t="inlineStr">
        <is>
          <t xml:space="preserve">BR_COM_GET_COMMONCODE_CBO
DA_PRD_SEL_ERP_IF_WIPCLOSE
DA_PRD_SEL_ERP_IF_MOVESTOCK
</t>
        </is>
      </c>
      <c r="F34" s="133" t="inlineStr">
        <is>
          <t>BR
DA
DA</t>
        </is>
      </c>
      <c r="G34" s="133" t="inlineStr">
        <is>
          <t>Get common code combobox list
Query production ERP I/F WIP close
Query production ERP I/F stock move</t>
        </is>
      </c>
      <c r="H34" s="68" t="n"/>
      <c r="I34" s="68" t="n"/>
    </row>
    <row r="35" ht="15.75" customHeight="1" s="121">
      <c r="A35" s="68" t="n"/>
      <c r="B35" s="68" t="n"/>
      <c r="C35" s="68" t="inlineStr">
        <is>
          <t>GMES_IMES_0560</t>
        </is>
      </c>
      <c r="D35" s="133" t="inlineStr">
        <is>
          <t>Tình trạng quản lý tồn kho</t>
        </is>
      </c>
      <c r="E35" s="133" t="inlineStr">
        <is>
          <t xml:space="preserve">BR_IM_SEL_AREA_CBO
DA_IM_COM_SEL_WAREHOUSE_CBO
BR_IM_COM_GET_PROD_CLCTITEM
BR_IM_STK_GET_RACK_ABNORMAL
BR_IM_PRD_SEL_LOT_ABNORMAL_INSPRESULT
BR_IM_BAS_REG_ABNORMAL_PROD_LOTNOTE
</t>
        </is>
      </c>
      <c r="F35" s="133" t="inlineStr">
        <is>
          <t>BR
DA
BR
BR
BR
BR</t>
        </is>
      </c>
      <c r="G35" s="133" t="inlineStr">
        <is>
          <t>Query area combobox list
Query warehouse combobox list
Get production result collection item
Get stock rack abnormal
Query production LOT abnormal inspection result
Register/Insert abnormal production result LOT note</t>
        </is>
      </c>
      <c r="H35" s="68" t="n"/>
      <c r="I35" s="68" t="n"/>
    </row>
    <row r="36" ht="15.75" customHeight="1" s="121">
      <c r="A36" s="68" t="n"/>
      <c r="B36" s="68" t="n"/>
      <c r="C36" s="68" t="inlineStr">
        <is>
          <t>GMES_IMES_0560_01</t>
        </is>
      </c>
      <c r="D36" s="133" t="inlineStr">
        <is>
          <t>[Popup] Nhập kho / thùng chứa bất thường</t>
        </is>
      </c>
      <c r="E36" s="133" t="inlineStr">
        <is>
          <t xml:space="preserve">BR_IM_SEL_AREA_CBO
BR_IM_SEL_PRODUCTGROUP_BY_AREA_CBO
BR_IM_SEL_EQUIPMENTSEGMENT_BY_PCGSID_CBO
DA_IM_BAS_SEL_PCSGID_BY_EQSGID
BR_IM_SEL_PROCESS_BY_PCSGID_CBO
DA_IM_BAS_SEL_EQPT_HOPPER
DA_IM_BAS_SEL_EQUIPMENTATTR_TBL
BR_IM_STK_GET_RACK_ABNORMAL
</t>
        </is>
      </c>
      <c r="F36" s="133" t="inlineStr">
        <is>
          <t>BR
BR
BR
DA
BR
DA
DA
BR</t>
        </is>
      </c>
      <c r="G36" s="133" t="inlineStr">
        <is>
          <t>Query area combobox list
Query product group By area combobox list
Query equipment segment By process-group combobox list
Query process-seg By equipment-seg
Query process By process-seg combobox list
Query equipment hopper
Query equipment attribute table
Get stock rack abnormal</t>
        </is>
      </c>
      <c r="H36" s="68" t="n"/>
      <c r="I36" s="68" t="n"/>
    </row>
    <row r="37" ht="15.75" customHeight="1" s="121">
      <c r="A37" s="68" t="n"/>
      <c r="B37" s="68" t="n"/>
      <c r="C37" s="68" t="inlineStr">
        <is>
          <t>GMES_IMES_0560_02</t>
        </is>
      </c>
      <c r="D37" s="133" t="inlineStr">
        <is>
          <t>[Popup] Xác nhận hạng mục thu thập bất thường</t>
        </is>
      </c>
      <c r="E37" s="133" t="inlineStr">
        <is>
          <t xml:space="preserve">BR_IM_COM_GET_PROD_CLCTITEM
BR_IM_GET_PROD_PRODUCTPROCESSQUALSPEC
BR_IM_COM_GET_PROD_CLCTITEM_SPEC
BR_IM_REG_ABNORMAL_CLCTITEM_COMMONCODE
DA_IM_STK_SEL_RACK_ABNORMAL_CONFIRM
</t>
        </is>
      </c>
      <c r="F37" s="133" t="inlineStr">
        <is>
          <t>BR
BR
BR
BR
DA</t>
        </is>
      </c>
      <c r="G37" s="133" t="inlineStr">
        <is>
          <t>Get production result collection item
Get production result product-process quality spec
Get production result collection item spec
Register/Insert abnormal collection item common code
Query stock rack abnormal confirm</t>
        </is>
      </c>
      <c r="H37" s="68" t="n"/>
      <c r="I37" s="68" t="n"/>
    </row>
    <row r="38" ht="15.75" customHeight="1" s="121">
      <c r="A38" s="68" t="n"/>
      <c r="B38" s="68" t="n"/>
      <c r="C38" s="68" t="inlineStr">
        <is>
          <t>GMES_IMES_0560_03</t>
        </is>
      </c>
      <c r="D38" s="133" t="inlineStr">
        <is>
          <t>[Popup] Mã chung hạng mục thu thập bất thường</t>
        </is>
      </c>
      <c r="E38" s="133" t="inlineStr">
        <is>
          <t xml:space="preserve">BR_IM_COM_GET_PROD_CLCTITEM
BR_IM_REG_ABNORMAL_CLCTITEM_COMMONCODE
</t>
        </is>
      </c>
      <c r="F38" s="133" t="inlineStr">
        <is>
          <t>BR
BR</t>
        </is>
      </c>
      <c r="G38" s="133" t="inlineStr">
        <is>
          <t>Get production result collection item
Register/Insert abnormal collection item common code</t>
        </is>
      </c>
      <c r="H38" s="68" t="n"/>
      <c r="I38" s="68" t="n"/>
    </row>
    <row r="39" ht="15.75" customHeight="1" s="121">
      <c r="A39" s="68" t="n"/>
      <c r="B39" s="68" t="n"/>
      <c r="C39" s="68" t="inlineStr">
        <is>
          <t>GMES_IMES_0560_04</t>
        </is>
      </c>
      <c r="D39" s="133" t="inlineStr">
        <is>
          <t>[Popup] Rack bất thường</t>
        </is>
      </c>
      <c r="E39" s="133" t="inlineStr">
        <is>
          <t xml:space="preserve">BR_IM_STK_GET_RACK_ABNORMAL
DA_IM_SEL_AREA_CBO
</t>
        </is>
      </c>
      <c r="F39" s="133" t="inlineStr">
        <is>
          <t>BR
DA</t>
        </is>
      </c>
      <c r="G39" s="133" t="inlineStr">
        <is>
          <t>Get stock rack abnormal
Query area combobox list</t>
        </is>
      </c>
      <c r="H39" s="68" t="n"/>
      <c r="I39" s="68" t="n"/>
    </row>
    <row r="40" ht="15.75" customHeight="1" s="121">
      <c r="A40" s="68" t="n"/>
      <c r="B40" s="68" t="n"/>
      <c r="C40" s="68" t="inlineStr">
        <is>
          <t>GMES_IMES_0560_05</t>
        </is>
      </c>
      <c r="D40" s="133" t="inlineStr">
        <is>
          <t>[Popup] Tính toán LOT bất thường</t>
        </is>
      </c>
      <c r="E40" s="133" t="inlineStr">
        <is>
          <t xml:space="preserve">DA_IM_BAS_SEL_PROD_CLCTITEM
BR_IM_PRD_SEL_LOT_ABNORMAL_CALC
</t>
        </is>
      </c>
      <c r="F40" s="133" t="inlineStr">
        <is>
          <t>DA
BR</t>
        </is>
      </c>
      <c r="G40" s="133" t="inlineStr">
        <is>
          <t>Query production result collection item
Query production LOT abnormal calculation</t>
        </is>
      </c>
      <c r="H40" s="68" t="n"/>
      <c r="I40" s="68" t="n"/>
    </row>
    <row r="41" ht="15.75" customHeight="1" s="121">
      <c r="A41" s="68" t="n"/>
      <c r="B41" s="68" t="n"/>
      <c r="C41" s="68" t="inlineStr">
        <is>
          <t>GMES_IMES_0560_06</t>
        </is>
      </c>
      <c r="D41" s="133" t="inlineStr">
        <is>
          <t>[Popup] Ghi chú LOT sản phẩm bất thường</t>
        </is>
      </c>
      <c r="E41" s="133" t="inlineStr">
        <is>
          <t xml:space="preserve">DA_IM_STK_SEL_RACK_ABNORMAL_CONFIRM
BR_IM_BAS_REG_ABNORMAL_PROD_LOTNOTE
</t>
        </is>
      </c>
      <c r="F41" s="133" t="inlineStr">
        <is>
          <t>DA
BR</t>
        </is>
      </c>
      <c r="G41" s="133" t="inlineStr">
        <is>
          <t>Query stock rack abnormal confirm
Register/Insert abnormal production result LOT note</t>
        </is>
      </c>
      <c r="H41" s="68" t="n"/>
      <c r="I41" s="68" t="n"/>
    </row>
    <row r="42" ht="15.75" customHeight="1" s="121">
      <c r="A42" s="68" t="n"/>
      <c r="B42" s="68" t="n"/>
      <c r="C42" s="68" t="inlineStr">
        <is>
          <t>GMES_IMS_0581</t>
        </is>
      </c>
      <c r="D42" s="133" t="inlineStr">
        <is>
          <t>Điều chỉnh nhập liệu ERP</t>
        </is>
      </c>
      <c r="E42" s="133" t="inlineStr">
        <is>
          <t xml:space="preserve">BR_COM_GET_MULTI_CLOSING_CBO
BR_COM_GET_STOCKLOCATION_AREAID_CBO
DA_PRD_SEL_ERP_INPUT_ADJUST
DA_PRD_GET_WORKORDER_INFO_COMMON_2
DA_PRD_SEL_MATERIALINFO
BR_PRD_ERP_SEND_INPUT_ADJUST
BR_PRD_CHK_INPUT_ADJUST
BR_PRD_REG_START_MOVE_WIP_V2
BR_PRD_REG_START_MOVE_WIP_CLOSING
</t>
        </is>
      </c>
      <c r="F42" s="133" t="inlineStr">
        <is>
          <t>BR
BR
DA
DA
DA
BR
BR
BR
BR</t>
        </is>
      </c>
      <c r="G42" s="133" t="inlineStr">
        <is>
          <t>Get multi closing combobox list
Get stock location area combobox list
Query production ERP input adjustment
Get production work order Info common 2
Query production material info
Send to ERP production ERP input adjustment
Validate production input adjustment
Register/Insert production start Move WIP v2
Register/Insert production start Move WIP closing</t>
        </is>
      </c>
      <c r="H42" s="68" t="n"/>
      <c r="I42" s="68" t="n"/>
    </row>
    <row r="43" ht="15.75" customHeight="1" s="121">
      <c r="A43" s="68" t="n"/>
      <c r="B43" s="68" t="n"/>
      <c r="C43" s="68" t="inlineStr">
        <is>
          <t>GMES_IMS_0585</t>
        </is>
      </c>
      <c r="D43" s="133" t="inlineStr">
        <is>
          <t>Tra cứu lịch sử I/F tồn kho theo thời điểm ERP</t>
        </is>
      </c>
      <c r="E43" s="133" t="inlineStr">
        <is>
          <t xml:space="preserve">DA_PRD_SEL_ERP_IF_HISTORY_TOTAL
DA_PRD_SEL_ERP_IF_HISTORY_TOTAL_COUNT
DA_PRD_SEL_ERP_IF_HISTORY
BR_COM_GET_COMMONCODE_CBO
DA_PRD_SEL_WIPHISTORY_BY_WORKORDER_MNT
</t>
        </is>
      </c>
      <c r="F43" s="133" t="inlineStr">
        <is>
          <t>DA
DA
DA
BR
DA</t>
        </is>
      </c>
      <c r="G43" s="133" t="inlineStr">
        <is>
          <t>Query production ERP I/F history total
Query production ERP I/F history total count
Query production ERP I/F history
Get common code combobox list
Query production Wiphistory By work order Mnt</t>
        </is>
      </c>
      <c r="H43" s="68" t="n"/>
      <c r="I43" s="68" t="n"/>
    </row>
    <row r="44" ht="15.75" customHeight="1" s="121">
      <c r="A44" s="68" t="n"/>
      <c r="B44" s="68" t="n"/>
      <c r="C44" s="68" t="inlineStr">
        <is>
          <t>GMES_IMS_0924</t>
        </is>
      </c>
      <c r="D44" s="133" t="inlineStr">
        <is>
          <t>Nhập kiểm kê tồn kho</t>
        </is>
      </c>
      <c r="E44" s="133" t="inlineStr">
        <is>
          <t xml:space="preserve">BR_PRD_GET_INV_STOCK_MNTH
BR_PRD_UPD_CLOSE_RSLT
DA_PRD_SEL_CHK_CLOSE_STAT
COR_SEL_MATERIAL_TBL
</t>
        </is>
      </c>
      <c r="F44" s="133" t="inlineStr">
        <is>
          <t>BR
BR
DA
COR</t>
        </is>
      </c>
      <c r="G44" s="133" t="inlineStr">
        <is>
          <t>Get production inventory stock month
Update production closing result
Query production Chk closing status
Query material table</t>
        </is>
      </c>
      <c r="H44" s="68" t="n"/>
      <c r="I44" s="68" t="n"/>
    </row>
    <row r="45" ht="15.75" customHeight="1" s="121">
      <c r="A45" s="68" t="n"/>
      <c r="B45" s="68" t="n"/>
      <c r="C45" s="68" t="inlineStr">
        <is>
          <t>GMES_IMS_0926</t>
        </is>
      </c>
      <c r="D45" s="133" t="inlineStr">
        <is>
          <t>Phản ánh kiểm kê vào ERP</t>
        </is>
      </c>
      <c r="E45" s="133" t="inlineStr">
        <is>
          <t xml:space="preserve">DA_PRD_SEL_ERP_STOCK_GAP_DISB
BR_PRD_SND_DISB_DIFF_PP0547_SO
BR_PRD_UPD_DISB_SENDFLAG
BR_PRD_RETURN_RSLT_PP0547
DA_PRD_SEL_CHK_SEND_STAT
</t>
        </is>
      </c>
      <c r="F45" s="133" t="inlineStr">
        <is>
          <t>DA
BR
BR
BR
DA</t>
        </is>
      </c>
      <c r="G45" s="133" t="inlineStr">
        <is>
          <t>Query production ERP stock gap disbursement
Send to ERP production disbursement difference (PP0547) send-out
Update production disbursement send flag
Return production result (PP0547)
Query production Chk Send status</t>
        </is>
      </c>
      <c r="H45" s="68" t="n"/>
      <c r="I45" s="68" t="n"/>
    </row>
    <row r="46" ht="15.75" customHeight="1" s="121">
      <c r="A46" s="68" t="n"/>
      <c r="B46" s="68" t="n"/>
      <c r="C46" s="68" t="inlineStr">
        <is>
          <t>GMES_IMS_0927</t>
        </is>
      </c>
      <c r="D46" s="133" t="inlineStr">
        <is>
          <t>Điều chỉnh hồi tố cấp phát miễn phí ERP</t>
        </is>
      </c>
      <c r="E46" s="133" t="inlineStr">
        <is>
          <t xml:space="preserve">DA_PRD_SEL_ERP_POST_RESULT
DA_PRD_SEL_ERP_POST_RESULT_DETAIL
BR_PRD_SND_SUPPLY_ADJUST_MM0476_SO
</t>
        </is>
      </c>
      <c r="F46" s="133" t="inlineStr">
        <is>
          <t>DA
DA
BR</t>
        </is>
      </c>
      <c r="G46" s="133" t="inlineStr">
        <is>
          <t>Query production ERP posting result
Query production ERP posting result detail
Send to ERP production supply adjustment (MM0476) send-out</t>
        </is>
      </c>
      <c r="H46" s="68" t="n"/>
      <c r="I46" s="68" t="n"/>
    </row>
    <row r="47" ht="15.75" customHeight="1" s="121"/>
    <row r="48" ht="15.75" customHeight="1" s="121"/>
    <row r="49" ht="15.75" customHeight="1" s="121"/>
    <row r="50" ht="15.75" customHeight="1" s="121"/>
    <row r="51" ht="15.75" customHeight="1" s="121"/>
    <row r="52" ht="15.75" customHeight="1" s="121"/>
    <row r="53" ht="15.75" customHeight="1" s="121"/>
    <row r="54" ht="15.75" customHeight="1" s="121"/>
    <row r="55" ht="15.75" customHeight="1" s="121"/>
    <row r="56" ht="15.75" customHeight="1" s="121"/>
    <row r="57" ht="15.75" customHeight="1" s="121"/>
    <row r="58" ht="15.75" customHeight="1" s="121"/>
    <row r="59" ht="15.75" customHeight="1" s="121"/>
    <row r="60" ht="15.75" customHeight="1" s="121"/>
    <row r="61" ht="15.75" customHeight="1" s="121"/>
    <row r="62" ht="15.75" customHeight="1" s="121"/>
    <row r="63" ht="15.75" customHeight="1" s="121"/>
    <row r="64" ht="15.75" customHeight="1" s="121"/>
    <row r="65" ht="15.75" customHeight="1" s="121"/>
    <row r="66" ht="15.75" customHeight="1" s="121"/>
    <row r="67" ht="15.75" customHeight="1" s="121"/>
    <row r="68" ht="15.75" customHeight="1" s="121"/>
    <row r="69" ht="15.75" customHeight="1" s="121"/>
    <row r="70" ht="15.75" customHeight="1" s="121"/>
    <row r="71" ht="15.75" customHeight="1" s="121"/>
    <row r="72" ht="15.75" customHeight="1" s="121"/>
    <row r="73" ht="15.75" customHeight="1" s="121"/>
    <row r="74" ht="15.75" customHeight="1" s="121"/>
    <row r="75" ht="15.75" customHeight="1" s="121"/>
    <row r="76" ht="15.75" customHeight="1" s="121"/>
    <row r="77" ht="15.75" customHeight="1" s="121"/>
    <row r="78" ht="15.75" customHeight="1" s="121"/>
    <row r="79" ht="15.75" customHeight="1" s="121"/>
    <row r="80" ht="15.75" customHeight="1" s="121"/>
    <row r="81" ht="15.75" customHeight="1" s="121"/>
    <row r="82" ht="15.75" customHeight="1" s="121"/>
    <row r="83" ht="15.75" customHeight="1" s="121"/>
    <row r="84" ht="15.75" customHeight="1" s="121"/>
    <row r="85" ht="15.75" customHeight="1" s="121"/>
    <row r="86" ht="15.75" customHeight="1" s="121"/>
    <row r="87" ht="15.75" customHeight="1" s="121"/>
    <row r="88" ht="15.75" customHeight="1" s="121"/>
    <row r="89" ht="15.75" customHeight="1" s="121"/>
    <row r="90" ht="15.75" customHeight="1" s="121"/>
    <row r="91" ht="15.75" customHeight="1" s="121"/>
    <row r="92" ht="15.75" customHeight="1" s="121"/>
    <row r="93" ht="15.75" customHeight="1" s="121"/>
    <row r="94" ht="15.75" customHeight="1" s="121"/>
    <row r="95" ht="15.75" customHeight="1" s="121"/>
    <row r="96" ht="15.75" customHeight="1" s="121"/>
    <row r="97" ht="15.75" customHeight="1" s="121"/>
    <row r="98" ht="15.75" customHeight="1" s="121"/>
    <row r="99" ht="15.75" customHeight="1" s="121"/>
    <row r="100" ht="15.75" customHeight="1" s="121"/>
    <row r="101" ht="15.75" customHeight="1" s="121"/>
    <row r="102" ht="15.75" customHeight="1" s="121"/>
    <row r="103" ht="15.75" customHeight="1" s="121"/>
    <row r="104" ht="15.75" customHeight="1" s="121"/>
    <row r="105" ht="15.75" customHeight="1" s="121"/>
    <row r="106" ht="15.75" customHeight="1" s="121"/>
    <row r="107" ht="15.75" customHeight="1" s="121"/>
    <row r="108" ht="15.75" customHeight="1" s="121"/>
    <row r="109" ht="15.75" customHeight="1" s="121"/>
    <row r="110" ht="15.75" customHeight="1" s="121"/>
    <row r="111" ht="15.75" customHeight="1" s="121"/>
    <row r="112" ht="15.75" customHeight="1" s="121"/>
    <row r="113" ht="15.75" customHeight="1" s="121"/>
    <row r="114" ht="15.75" customHeight="1" s="121"/>
    <row r="115" ht="15.75" customHeight="1" s="121"/>
    <row r="116" ht="15.75" customHeight="1" s="121"/>
    <row r="117" ht="15.75" customHeight="1" s="121"/>
    <row r="118" ht="15.75" customHeight="1" s="121"/>
    <row r="119" ht="15.75" customHeight="1" s="121"/>
    <row r="120" ht="15.75" customHeight="1" s="121"/>
    <row r="121" ht="15.75" customHeight="1" s="121"/>
    <row r="122" ht="15.75" customHeight="1" s="121"/>
    <row r="123" ht="15.75" customHeight="1" s="121"/>
    <row r="124" ht="15.75" customHeight="1" s="121"/>
    <row r="125" ht="15.75" customHeight="1" s="121"/>
    <row r="126" ht="15.75" customHeight="1" s="121"/>
    <row r="127" ht="15.75" customHeight="1" s="121"/>
    <row r="128" ht="15.75" customHeight="1" s="121"/>
    <row r="129" ht="15.75" customHeight="1" s="121"/>
    <row r="130" ht="15.75" customHeight="1" s="121"/>
    <row r="131" ht="15.75" customHeight="1" s="121"/>
    <row r="132" ht="15.75" customHeight="1" s="121"/>
    <row r="133" ht="15.75" customHeight="1" s="121"/>
    <row r="134" ht="15.75" customHeight="1" s="121"/>
    <row r="135" ht="15.75" customHeight="1" s="121"/>
    <row r="136" ht="15.75" customHeight="1" s="121"/>
    <row r="137" ht="15.75" customHeight="1" s="121"/>
    <row r="138" ht="15.75" customHeight="1" s="121"/>
    <row r="139" ht="15.75" customHeight="1" s="121"/>
    <row r="140" ht="15.75" customHeight="1" s="121"/>
    <row r="141" ht="15.75" customHeight="1" s="121"/>
    <row r="142" ht="15.75" customHeight="1" s="121"/>
    <row r="143" ht="15.75" customHeight="1" s="121"/>
    <row r="144" ht="15.75" customHeight="1" s="121"/>
    <row r="145" ht="15.75" customHeight="1" s="121"/>
    <row r="146" ht="15.75" customHeight="1" s="121"/>
    <row r="147" ht="15.75" customHeight="1" s="121"/>
    <row r="148" ht="15.75" customHeight="1" s="121"/>
    <row r="149" ht="15.75" customHeight="1" s="121"/>
    <row r="150" ht="15.75" customHeight="1" s="121"/>
    <row r="151" ht="15.75" customHeight="1" s="121"/>
    <row r="152" ht="15.75" customHeight="1" s="121"/>
    <row r="153" ht="15.75" customHeight="1" s="121"/>
    <row r="154" ht="15.75" customHeight="1" s="121"/>
    <row r="155" ht="15.75" customHeight="1" s="121"/>
    <row r="156" ht="15.75" customHeight="1" s="121"/>
    <row r="157" ht="15.75" customHeight="1" s="121"/>
    <row r="158" ht="15.75" customHeight="1" s="121"/>
    <row r="159" ht="15.75" customHeight="1" s="121"/>
    <row r="160" ht="15.75" customHeight="1" s="121"/>
    <row r="161" ht="15.75" customHeight="1" s="121"/>
    <row r="162" ht="15.75" customHeight="1" s="121"/>
    <row r="163" ht="15.75" customHeight="1" s="121"/>
    <row r="164" ht="15.75" customHeight="1" s="121"/>
    <row r="165" ht="15.75" customHeight="1" s="121"/>
    <row r="166" ht="15.75" customHeight="1" s="121"/>
    <row r="167" ht="15.75" customHeight="1" s="121"/>
    <row r="168" ht="15.75" customHeight="1" s="121"/>
    <row r="169" ht="15.75" customHeight="1" s="121"/>
    <row r="170" ht="15.75" customHeight="1" s="121"/>
    <row r="171" ht="15.75" customHeight="1" s="121"/>
    <row r="172" ht="15.75" customHeight="1" s="121"/>
    <row r="173" ht="15.75" customHeight="1" s="121"/>
    <row r="174" ht="15.75" customHeight="1" s="121"/>
    <row r="175" ht="15.75" customHeight="1" s="121"/>
    <row r="176" ht="15.75" customHeight="1" s="121"/>
    <row r="177" ht="15.75" customHeight="1" s="121"/>
    <row r="178" ht="15.75" customHeight="1" s="121"/>
    <row r="179" ht="15.75" customHeight="1" s="121"/>
    <row r="180" ht="15.75" customHeight="1" s="121"/>
    <row r="181" ht="15.75" customHeight="1" s="121"/>
    <row r="182" ht="15.75" customHeight="1" s="121"/>
    <row r="183" ht="15.75" customHeight="1" s="121"/>
    <row r="184" ht="15.75" customHeight="1" s="121"/>
    <row r="185" ht="15.75" customHeight="1" s="121"/>
    <row r="186" ht="15.75" customHeight="1" s="121"/>
    <row r="187" ht="15.75" customHeight="1" s="121"/>
    <row r="188" ht="15.75" customHeight="1" s="121"/>
    <row r="189" ht="15.75" customHeight="1" s="121"/>
    <row r="190" ht="15.75" customHeight="1" s="121"/>
    <row r="191" ht="15.75" customHeight="1" s="121"/>
    <row r="192" ht="15.75" customHeight="1" s="121"/>
    <row r="193" ht="15.75" customHeight="1" s="121"/>
    <row r="194" ht="15.75" customHeight="1" s="121"/>
    <row r="195" ht="15.75" customHeight="1" s="121"/>
    <row r="196" ht="15.75" customHeight="1" s="121"/>
    <row r="197" ht="15.75" customHeight="1" s="121"/>
    <row r="198" ht="15.75" customHeight="1" s="121"/>
    <row r="199" ht="15.75" customHeight="1" s="121"/>
    <row r="200" ht="15.75" customHeight="1" s="121"/>
    <row r="201" ht="15.75" customHeight="1" s="121"/>
    <row r="202" ht="15.75" customHeight="1" s="121"/>
    <row r="203" ht="15.75" customHeight="1" s="121"/>
    <row r="204" ht="15.75" customHeight="1" s="121"/>
    <row r="205" ht="15.75" customHeight="1" s="121"/>
    <row r="206" ht="15.75" customHeight="1" s="121"/>
    <row r="207" ht="15.75" customHeight="1" s="121"/>
    <row r="208" ht="15.75" customHeight="1" s="121"/>
    <row r="209" ht="15.75" customHeight="1" s="121"/>
    <row r="210" ht="15.75" customHeight="1" s="121"/>
    <row r="211" ht="15.75" customHeight="1" s="121"/>
    <row r="212" ht="15.75" customHeight="1" s="121"/>
    <row r="213" ht="15.75" customHeight="1" s="121"/>
    <row r="214" ht="15.75" customHeight="1" s="121"/>
    <row r="215" ht="15.75" customHeight="1" s="121"/>
    <row r="216" ht="15.75" customHeight="1" s="121"/>
    <row r="217" ht="15.75" customHeight="1" s="121"/>
    <row r="218" ht="15.75" customHeight="1" s="121"/>
    <row r="219" ht="15.75" customHeight="1" s="121"/>
    <row r="220" ht="15.75" customHeight="1" s="121"/>
    <row r="221" ht="15.75" customHeight="1" s="121"/>
    <row r="222" ht="15.75" customHeight="1" s="121"/>
    <row r="223" ht="15.75" customHeight="1" s="121"/>
    <row r="224" ht="15.75" customHeight="1" s="121"/>
    <row r="225" ht="15.75" customHeight="1" s="121"/>
    <row r="226" ht="15.75" customHeight="1" s="121"/>
    <row r="227" ht="15.75" customHeight="1" s="121"/>
    <row r="228" ht="15.75" customHeight="1" s="121"/>
    <row r="229" ht="15.75" customHeight="1" s="121"/>
    <row r="230" ht="15.75" customHeight="1" s="121"/>
    <row r="231" ht="15.75" customHeight="1" s="121"/>
    <row r="232" ht="15.75" customHeight="1" s="121"/>
    <row r="233" ht="15.75" customHeight="1" s="121"/>
    <row r="234" ht="15.75" customHeight="1" s="121"/>
    <row r="235" ht="15.75" customHeight="1" s="121"/>
    <row r="236" ht="15.75" customHeight="1" s="121"/>
    <row r="237" ht="15.75" customHeight="1" s="121"/>
    <row r="238" ht="15.75" customHeight="1" s="121"/>
    <row r="239" ht="15.75" customHeight="1" s="121"/>
    <row r="240" ht="15.75" customHeight="1" s="121"/>
    <row r="241" ht="15.75" customHeight="1" s="121"/>
    <row r="242" ht="15.75" customHeight="1" s="121"/>
    <row r="243" ht="15.75" customHeight="1" s="121"/>
    <row r="244" ht="15.75" customHeight="1" s="121"/>
    <row r="245" ht="15.75" customHeight="1" s="121"/>
    <row r="246" ht="15.75" customHeight="1" s="121"/>
    <row r="247" ht="15.75" customHeight="1" s="121"/>
    <row r="248" ht="15.75" customHeight="1" s="121"/>
    <row r="249" ht="15.75" customHeight="1" s="121"/>
    <row r="250" ht="15.75" customHeight="1" s="121"/>
    <row r="251" ht="15.75" customHeight="1" s="121"/>
    <row r="252" ht="15.75" customHeight="1" s="121"/>
    <row r="253" ht="15.75" customHeight="1" s="121"/>
    <row r="254" ht="15.75" customHeight="1" s="121"/>
    <row r="255" ht="15.75" customHeight="1" s="121"/>
    <row r="256" ht="15.75" customHeight="1" s="121"/>
    <row r="257" ht="15.75" customHeight="1" s="121"/>
    <row r="258" ht="15.75" customHeight="1" s="121"/>
    <row r="259" ht="15.75" customHeight="1" s="121"/>
    <row r="260" ht="15.75" customHeight="1" s="121"/>
    <row r="261" ht="15.75" customHeight="1" s="121"/>
    <row r="262" ht="15.75" customHeight="1" s="121"/>
    <row r="263" ht="15.75" customHeight="1" s="121"/>
    <row r="264" ht="15.75" customHeight="1" s="121"/>
    <row r="265" ht="15.75" customHeight="1" s="121"/>
    <row r="266" ht="15.75" customHeight="1" s="121"/>
    <row r="267" ht="15.75" customHeight="1" s="121"/>
    <row r="268" ht="15.75" customHeight="1" s="121"/>
    <row r="269" ht="15.75" customHeight="1" s="121"/>
    <row r="270" ht="15.75" customHeight="1" s="121"/>
    <row r="271" ht="15.75" customHeight="1" s="121"/>
    <row r="272" ht="15.75" customHeight="1" s="121"/>
    <row r="273" ht="15.75" customHeight="1" s="121"/>
    <row r="274" ht="15.75" customHeight="1" s="121"/>
    <row r="275" ht="15.75" customHeight="1" s="121"/>
    <row r="276" ht="15.75" customHeight="1" s="121"/>
    <row r="277" ht="15.75" customHeight="1" s="121"/>
    <row r="278" ht="15.75" customHeight="1" s="121"/>
    <row r="279" ht="15.75" customHeight="1" s="121"/>
    <row r="280" ht="15.75" customHeight="1" s="121"/>
    <row r="281" ht="15.75" customHeight="1" s="121"/>
    <row r="282" ht="15.75" customHeight="1" s="121"/>
    <row r="283" ht="15.75" customHeight="1" s="121"/>
    <row r="284" ht="15.75" customHeight="1" s="121"/>
    <row r="285" ht="15.75" customHeight="1" s="121"/>
    <row r="286" ht="15.75" customHeight="1" s="121"/>
    <row r="287" ht="15.75" customHeight="1" s="121"/>
    <row r="288" ht="15.75" customHeight="1" s="121"/>
    <row r="289" ht="15.75" customHeight="1" s="121"/>
    <row r="290" ht="15.75" customHeight="1" s="121"/>
    <row r="291" ht="15.75" customHeight="1" s="121"/>
    <row r="292" ht="15.75" customHeight="1" s="121"/>
    <row r="293" ht="15.75" customHeight="1" s="121"/>
    <row r="294" ht="15.75" customHeight="1" s="121"/>
    <row r="295" ht="15.75" customHeight="1" s="121"/>
    <row r="296" ht="15.75" customHeight="1" s="121"/>
    <row r="297" ht="15.75" customHeight="1" s="121"/>
    <row r="298" ht="15.75" customHeight="1" s="121"/>
    <row r="299" ht="15.75" customHeight="1" s="121"/>
    <row r="300" ht="15.75" customHeight="1" s="121"/>
    <row r="301" ht="15.75" customHeight="1" s="121"/>
    <row r="302" ht="15.75" customHeight="1" s="121"/>
    <row r="303" ht="15.75" customHeight="1" s="121"/>
    <row r="304" ht="15.75" customHeight="1" s="121"/>
    <row r="305" ht="15.75" customHeight="1" s="121"/>
    <row r="306" ht="15.75" customHeight="1" s="121"/>
    <row r="307" ht="15.75" customHeight="1" s="121"/>
    <row r="308" ht="15.75" customHeight="1" s="121"/>
    <row r="309" ht="15.75" customHeight="1" s="121"/>
    <row r="310" ht="15.75" customHeight="1" s="121"/>
    <row r="311" ht="15.75" customHeight="1" s="121"/>
    <row r="312" ht="15.75" customHeight="1" s="121"/>
    <row r="313" ht="15.75" customHeight="1" s="121"/>
    <row r="314" ht="15.75" customHeight="1" s="121"/>
    <row r="315" ht="15.75" customHeight="1" s="121"/>
    <row r="316" ht="15.75" customHeight="1" s="121"/>
    <row r="317" ht="15.75" customHeight="1" s="121"/>
    <row r="318" ht="15.75" customHeight="1" s="121"/>
    <row r="319" ht="15.75" customHeight="1" s="121"/>
    <row r="320" ht="15.75" customHeight="1" s="121"/>
    <row r="321" ht="15.75" customHeight="1" s="121"/>
    <row r="322" ht="15.75" customHeight="1" s="121"/>
    <row r="323" ht="15.75" customHeight="1" s="121"/>
    <row r="324" ht="15.75" customHeight="1" s="121"/>
    <row r="325" ht="15.75" customHeight="1" s="121"/>
    <row r="326" ht="15.75" customHeight="1" s="121"/>
    <row r="327" ht="15.75" customHeight="1" s="121"/>
    <row r="328" ht="15.75" customHeight="1" s="121"/>
    <row r="329" ht="15.75" customHeight="1" s="121"/>
    <row r="330" ht="15.75" customHeight="1" s="121"/>
    <row r="331" ht="15.75" customHeight="1" s="121"/>
    <row r="332" ht="15.75" customHeight="1" s="121"/>
    <row r="333" ht="15.75" customHeight="1" s="121"/>
    <row r="334" ht="15.75" customHeight="1" s="121"/>
    <row r="335" ht="15.75" customHeight="1" s="121"/>
    <row r="336" ht="15.75" customHeight="1" s="121"/>
    <row r="337" ht="15.75" customHeight="1" s="121"/>
    <row r="338" ht="15.75" customHeight="1" s="121"/>
    <row r="339" ht="15.75" customHeight="1" s="121"/>
    <row r="340" ht="15.75" customHeight="1" s="121"/>
    <row r="341" ht="15.75" customHeight="1" s="121"/>
    <row r="342" ht="15.75" customHeight="1" s="121"/>
    <row r="343" ht="15.75" customHeight="1" s="121"/>
    <row r="344" ht="15.75" customHeight="1" s="121"/>
    <row r="345" ht="15.75" customHeight="1" s="121"/>
    <row r="346" ht="15.75" customHeight="1" s="121"/>
    <row r="347" ht="15.75" customHeight="1" s="121"/>
    <row r="348" ht="15.75" customHeight="1" s="121"/>
    <row r="349" ht="15.75" customHeight="1" s="121"/>
    <row r="350" ht="15.75" customHeight="1" s="121"/>
    <row r="351" ht="15.75" customHeight="1" s="121"/>
    <row r="352" ht="15.75" customHeight="1" s="121"/>
    <row r="353" ht="15.75" customHeight="1" s="121"/>
    <row r="354" ht="15.75" customHeight="1" s="121"/>
    <row r="355" ht="15.75" customHeight="1" s="121"/>
    <row r="356" ht="15.75" customHeight="1" s="121"/>
    <row r="357" ht="15.75" customHeight="1" s="121"/>
    <row r="358" ht="15.75" customHeight="1" s="121"/>
    <row r="359" ht="15.75" customHeight="1" s="121"/>
    <row r="360" ht="15.75" customHeight="1" s="121"/>
    <row r="361" ht="15.75" customHeight="1" s="121"/>
    <row r="362" ht="15.75" customHeight="1" s="121"/>
    <row r="363" ht="15.75" customHeight="1" s="121"/>
    <row r="364" ht="15.75" customHeight="1" s="121"/>
    <row r="365" ht="15.75" customHeight="1" s="121"/>
    <row r="366" ht="15.75" customHeight="1" s="121"/>
    <row r="367" ht="15.75" customHeight="1" s="121"/>
    <row r="368" ht="15.75" customHeight="1" s="121"/>
    <row r="369" ht="15.75" customHeight="1" s="121"/>
    <row r="370" ht="15.75" customHeight="1" s="121"/>
    <row r="371" ht="15.75" customHeight="1" s="121"/>
    <row r="372" ht="15.75" customHeight="1" s="121"/>
    <row r="373" ht="15.75" customHeight="1" s="121"/>
    <row r="374" ht="15.75" customHeight="1" s="121"/>
    <row r="375" ht="15.75" customHeight="1" s="121"/>
    <row r="376" ht="15.75" customHeight="1" s="121"/>
    <row r="377" ht="15.75" customHeight="1" s="121"/>
    <row r="378" ht="15.75" customHeight="1" s="121"/>
    <row r="379" ht="15.75" customHeight="1" s="121"/>
    <row r="380" ht="15.75" customHeight="1" s="121"/>
    <row r="381" ht="15.75" customHeight="1" s="121"/>
    <row r="382" ht="15.75" customHeight="1" s="121"/>
    <row r="383" ht="15.75" customHeight="1" s="121"/>
    <row r="384" ht="15.75" customHeight="1" s="121"/>
    <row r="385" ht="15.75" customHeight="1" s="121"/>
    <row r="386" ht="15.75" customHeight="1" s="121"/>
    <row r="387" ht="15.75" customHeight="1" s="121"/>
    <row r="388" ht="15.75" customHeight="1" s="121"/>
    <row r="389" ht="15.75" customHeight="1" s="121"/>
    <row r="390" ht="15.75" customHeight="1" s="121"/>
    <row r="391" ht="15.75" customHeight="1" s="121"/>
    <row r="392" ht="15.75" customHeight="1" s="121"/>
    <row r="393" ht="15.75" customHeight="1" s="121"/>
    <row r="394" ht="15.75" customHeight="1" s="121"/>
    <row r="395" ht="15.75" customHeight="1" s="121"/>
    <row r="396" ht="15.75" customHeight="1" s="121"/>
    <row r="397" ht="15.75" customHeight="1" s="121"/>
    <row r="398" ht="15.75" customHeight="1" s="121"/>
    <row r="399" ht="15.75" customHeight="1" s="121"/>
    <row r="400" ht="15.75" customHeight="1" s="121"/>
    <row r="401" ht="15.75" customHeight="1" s="121"/>
    <row r="402" ht="15.75" customHeight="1" s="121"/>
    <row r="403" ht="15.75" customHeight="1" s="121"/>
    <row r="404" ht="15.75" customHeight="1" s="121"/>
    <row r="405" ht="15.75" customHeight="1" s="121"/>
    <row r="406" ht="15.75" customHeight="1" s="121"/>
    <row r="407" ht="15.75" customHeight="1" s="121"/>
    <row r="408" ht="15.75" customHeight="1" s="121"/>
    <row r="409" ht="15.75" customHeight="1" s="121"/>
    <row r="410" ht="15.75" customHeight="1" s="121"/>
    <row r="411" ht="15.75" customHeight="1" s="121"/>
    <row r="412" ht="15.75" customHeight="1" s="121"/>
    <row r="413" ht="15.75" customHeight="1" s="121"/>
    <row r="414" ht="15.75" customHeight="1" s="121"/>
    <row r="415" ht="15.75" customHeight="1" s="121"/>
    <row r="416" ht="15.75" customHeight="1" s="121"/>
    <row r="417" ht="15.75" customHeight="1" s="121"/>
    <row r="418" ht="15.75" customHeight="1" s="121"/>
    <row r="419" ht="15.75" customHeight="1" s="121"/>
    <row r="420" ht="15.75" customHeight="1" s="121"/>
    <row r="421" ht="15.75" customHeight="1" s="121"/>
    <row r="422" ht="15.75" customHeight="1" s="121"/>
    <row r="423" ht="15.75" customHeight="1" s="121"/>
    <row r="424" ht="15.75" customHeight="1" s="121"/>
    <row r="425" ht="15.75" customHeight="1" s="121"/>
    <row r="426" ht="15.75" customHeight="1" s="121"/>
    <row r="427" ht="15.75" customHeight="1" s="121"/>
    <row r="428" ht="15.75" customHeight="1" s="121"/>
    <row r="429" ht="15.75" customHeight="1" s="121"/>
    <row r="430" ht="15.75" customHeight="1" s="121"/>
    <row r="431" ht="15.75" customHeight="1" s="121"/>
    <row r="432" ht="15.75" customHeight="1" s="121"/>
    <row r="433" ht="15.75" customHeight="1" s="121"/>
    <row r="434" ht="15.75" customHeight="1" s="121"/>
    <row r="435" ht="15.75" customHeight="1" s="121"/>
    <row r="436" ht="15.75" customHeight="1" s="121"/>
    <row r="437" ht="15.75" customHeight="1" s="121"/>
    <row r="438" ht="15.75" customHeight="1" s="121"/>
    <row r="439" ht="15.75" customHeight="1" s="121"/>
    <row r="440" ht="15.75" customHeight="1" s="121"/>
    <row r="441" ht="15.75" customHeight="1" s="121"/>
    <row r="442" ht="15.75" customHeight="1" s="121"/>
    <row r="443" ht="15.75" customHeight="1" s="121"/>
    <row r="444" ht="15.75" customHeight="1" s="121"/>
    <row r="445" ht="15.75" customHeight="1" s="121"/>
    <row r="446" ht="15.75" customHeight="1" s="121"/>
    <row r="447" ht="15.75" customHeight="1" s="121"/>
    <row r="448" ht="15.75" customHeight="1" s="121"/>
    <row r="449" ht="15.75" customHeight="1" s="121"/>
    <row r="450" ht="15.75" customHeight="1" s="121"/>
    <row r="451" ht="15.75" customHeight="1" s="121"/>
    <row r="452" ht="15.75" customHeight="1" s="121"/>
    <row r="453" ht="15.75" customHeight="1" s="121"/>
    <row r="454" ht="15.75" customHeight="1" s="121"/>
    <row r="455" ht="15.75" customHeight="1" s="121"/>
    <row r="456" ht="15.75" customHeight="1" s="121"/>
    <row r="457" ht="15.75" customHeight="1" s="121"/>
    <row r="458" ht="15.75" customHeight="1" s="121"/>
    <row r="459" ht="15.75" customHeight="1" s="121"/>
    <row r="460" ht="15.75" customHeight="1" s="121"/>
    <row r="461" ht="15.75" customHeight="1" s="121"/>
    <row r="462" ht="15.75" customHeight="1" s="121"/>
    <row r="463" ht="15.75" customHeight="1" s="121"/>
    <row r="464" ht="15.75" customHeight="1" s="121"/>
    <row r="465" ht="15.75" customHeight="1" s="121"/>
    <row r="466" ht="15.75" customHeight="1" s="121"/>
    <row r="467" ht="15.75" customHeight="1" s="121"/>
    <row r="468" ht="15.75" customHeight="1" s="121"/>
    <row r="469" ht="15.75" customHeight="1" s="121"/>
    <row r="470" ht="15.75" customHeight="1" s="121"/>
    <row r="471" ht="15.75" customHeight="1" s="121"/>
    <row r="472" ht="15.75" customHeight="1" s="121"/>
    <row r="473" ht="15.75" customHeight="1" s="121"/>
    <row r="474" ht="15.75" customHeight="1" s="121"/>
    <row r="475" ht="15.75" customHeight="1" s="121"/>
    <row r="476" ht="15.75" customHeight="1" s="121"/>
    <row r="477" ht="15.75" customHeight="1" s="121"/>
    <row r="478" ht="15.75" customHeight="1" s="121"/>
    <row r="479" ht="15.75" customHeight="1" s="121"/>
    <row r="480" ht="15.75" customHeight="1" s="121"/>
    <row r="481" ht="15.75" customHeight="1" s="121"/>
    <row r="482" ht="15.75" customHeight="1" s="121"/>
    <row r="483" ht="15.75" customHeight="1" s="121"/>
    <row r="484" ht="15.75" customHeight="1" s="121"/>
    <row r="485" ht="15.75" customHeight="1" s="121"/>
    <row r="486" ht="15.75" customHeight="1" s="121"/>
    <row r="487" ht="15.75" customHeight="1" s="121"/>
    <row r="488" ht="15.75" customHeight="1" s="121"/>
    <row r="489" ht="15.75" customHeight="1" s="121"/>
    <row r="490" ht="15.75" customHeight="1" s="121"/>
    <row r="491" ht="15.75" customHeight="1" s="121"/>
    <row r="492" ht="15.75" customHeight="1" s="121"/>
    <row r="493" ht="15.75" customHeight="1" s="121"/>
    <row r="494" ht="15.75" customHeight="1" s="121"/>
    <row r="495" ht="15.75" customHeight="1" s="121"/>
    <row r="496" ht="15.75" customHeight="1" s="121"/>
    <row r="497" ht="15.75" customHeight="1" s="121"/>
    <row r="498" ht="15.75" customHeight="1" s="121"/>
    <row r="499" ht="15.75" customHeight="1" s="121"/>
    <row r="500" ht="15.75" customHeight="1" s="121"/>
    <row r="501" ht="15.75" customHeight="1" s="121"/>
    <row r="502" ht="15.75" customHeight="1" s="121"/>
    <row r="503" ht="15.75" customHeight="1" s="121"/>
    <row r="504" ht="15.75" customHeight="1" s="121"/>
    <row r="505" ht="15.75" customHeight="1" s="121"/>
    <row r="506" ht="15.75" customHeight="1" s="121"/>
    <row r="507" ht="15.75" customHeight="1" s="121"/>
    <row r="508" ht="15.75" customHeight="1" s="121"/>
    <row r="509" ht="15.75" customHeight="1" s="121"/>
    <row r="510" ht="15.75" customHeight="1" s="121"/>
    <row r="511" ht="15.75" customHeight="1" s="121"/>
    <row r="512" ht="15.75" customHeight="1" s="121"/>
    <row r="513" ht="15.75" customHeight="1" s="121"/>
    <row r="514" ht="15.75" customHeight="1" s="121"/>
    <row r="515" ht="15.75" customHeight="1" s="121"/>
    <row r="516" ht="15.75" customHeight="1" s="121"/>
    <row r="517" ht="15.75" customHeight="1" s="121"/>
    <row r="518" ht="15.75" customHeight="1" s="121"/>
    <row r="519" ht="15.75" customHeight="1" s="121"/>
    <row r="520" ht="15.75" customHeight="1" s="121"/>
    <row r="521" ht="15.75" customHeight="1" s="121"/>
    <row r="522" ht="15.75" customHeight="1" s="121"/>
    <row r="523" ht="15.75" customHeight="1" s="121"/>
    <row r="524" ht="15.75" customHeight="1" s="121"/>
    <row r="525" ht="15.75" customHeight="1" s="121"/>
    <row r="526" ht="15.75" customHeight="1" s="121"/>
    <row r="527" ht="15.75" customHeight="1" s="121"/>
    <row r="528" ht="15.75" customHeight="1" s="121"/>
    <row r="529" ht="15.75" customHeight="1" s="121"/>
    <row r="530" ht="15.75" customHeight="1" s="121"/>
    <row r="531" ht="15.75" customHeight="1" s="121"/>
    <row r="532" ht="15.75" customHeight="1" s="121"/>
    <row r="533" ht="15.75" customHeight="1" s="121"/>
    <row r="534" ht="15.75" customHeight="1" s="121"/>
    <row r="535" ht="15.75" customHeight="1" s="121"/>
    <row r="536" ht="15.75" customHeight="1" s="121"/>
    <row r="537" ht="15.75" customHeight="1" s="121"/>
    <row r="538" ht="15.75" customHeight="1" s="121"/>
    <row r="539" ht="15.75" customHeight="1" s="121"/>
    <row r="540" ht="15.75" customHeight="1" s="121"/>
    <row r="541" ht="15.75" customHeight="1" s="121"/>
    <row r="542" ht="15.75" customHeight="1" s="121"/>
    <row r="543" ht="15.75" customHeight="1" s="121"/>
    <row r="544" ht="15.75" customHeight="1" s="121"/>
    <row r="545" ht="15.75" customHeight="1" s="121"/>
    <row r="546" ht="15.75" customHeight="1" s="121"/>
    <row r="547" ht="15.75" customHeight="1" s="121"/>
    <row r="548" ht="15.75" customHeight="1" s="121"/>
    <row r="549" ht="15.75" customHeight="1" s="121"/>
    <row r="550" ht="15.75" customHeight="1" s="121"/>
    <row r="551" ht="15.75" customHeight="1" s="121"/>
    <row r="552" ht="15.75" customHeight="1" s="121"/>
    <row r="553" ht="15.75" customHeight="1" s="121"/>
    <row r="554" ht="15.75" customHeight="1" s="121"/>
    <row r="555" ht="15.75" customHeight="1" s="121"/>
    <row r="556" ht="15.75" customHeight="1" s="121"/>
    <row r="557" ht="15.75" customHeight="1" s="121"/>
    <row r="558" ht="15.75" customHeight="1" s="121"/>
    <row r="559" ht="15.75" customHeight="1" s="121"/>
    <row r="560" ht="15.75" customHeight="1" s="121"/>
    <row r="561" ht="15.75" customHeight="1" s="121"/>
    <row r="562" ht="15.75" customHeight="1" s="121"/>
    <row r="563" ht="15.75" customHeight="1" s="121"/>
    <row r="564" ht="15.75" customHeight="1" s="121"/>
    <row r="565" ht="15.75" customHeight="1" s="121"/>
    <row r="566" ht="15.75" customHeight="1" s="121"/>
    <row r="567" ht="15.75" customHeight="1" s="121"/>
    <row r="568" ht="15.75" customHeight="1" s="121"/>
    <row r="569" ht="15.75" customHeight="1" s="121"/>
    <row r="570" ht="15.75" customHeight="1" s="121"/>
    <row r="571" ht="15.75" customHeight="1" s="121"/>
    <row r="572" ht="15.75" customHeight="1" s="121"/>
    <row r="573" ht="15.75" customHeight="1" s="121"/>
    <row r="574" ht="15.75" customHeight="1" s="121"/>
    <row r="575" ht="15.75" customHeight="1" s="121"/>
    <row r="576" ht="15.75" customHeight="1" s="121"/>
    <row r="577" ht="15.75" customHeight="1" s="121"/>
    <row r="578" ht="15.75" customHeight="1" s="121"/>
    <row r="579" ht="15.75" customHeight="1" s="121"/>
    <row r="580" ht="15.75" customHeight="1" s="121"/>
    <row r="581" ht="15.75" customHeight="1" s="121"/>
    <row r="582" ht="15.75" customHeight="1" s="121"/>
    <row r="583" ht="15.75" customHeight="1" s="121"/>
    <row r="584" ht="15.75" customHeight="1" s="121"/>
    <row r="585" ht="15.75" customHeight="1" s="121"/>
    <row r="586" ht="15.75" customHeight="1" s="121"/>
    <row r="587" ht="15.75" customHeight="1" s="121"/>
    <row r="588" ht="15.75" customHeight="1" s="121"/>
    <row r="589" ht="15.75" customHeight="1" s="121"/>
    <row r="590" ht="15.75" customHeight="1" s="121"/>
    <row r="591" ht="15.75" customHeight="1" s="121"/>
    <row r="592" ht="15.75" customHeight="1" s="121"/>
    <row r="593" ht="15.75" customHeight="1" s="121"/>
    <row r="594" ht="15.75" customHeight="1" s="121"/>
    <row r="595" ht="15.75" customHeight="1" s="121"/>
    <row r="596" ht="15.75" customHeight="1" s="121"/>
    <row r="597" ht="15.75" customHeight="1" s="121"/>
    <row r="598" ht="15.75" customHeight="1" s="121"/>
    <row r="599" ht="15.75" customHeight="1" s="121"/>
    <row r="600" ht="15.75" customHeight="1" s="121"/>
    <row r="601" ht="15.75" customHeight="1" s="121"/>
    <row r="602" ht="15.75" customHeight="1" s="121"/>
    <row r="603" ht="15.75" customHeight="1" s="121"/>
    <row r="604" ht="15.75" customHeight="1" s="121"/>
    <row r="605" ht="15.75" customHeight="1" s="121"/>
    <row r="606" ht="15.75" customHeight="1" s="121"/>
    <row r="607" ht="15.75" customHeight="1" s="121"/>
    <row r="608" ht="15.75" customHeight="1" s="121"/>
    <row r="609" ht="15.75" customHeight="1" s="121"/>
    <row r="610" ht="15.75" customHeight="1" s="121"/>
    <row r="611" ht="15.75" customHeight="1" s="121"/>
    <row r="612" ht="15.75" customHeight="1" s="121"/>
    <row r="613" ht="15.75" customHeight="1" s="121"/>
    <row r="614" ht="15.75" customHeight="1" s="121"/>
    <row r="615" ht="15.75" customHeight="1" s="121"/>
    <row r="616" ht="15.75" customHeight="1" s="121"/>
    <row r="617" ht="15.75" customHeight="1" s="121"/>
    <row r="618" ht="15.75" customHeight="1" s="121"/>
    <row r="619" ht="15.75" customHeight="1" s="121"/>
    <row r="620" ht="15.75" customHeight="1" s="121"/>
    <row r="621" ht="15.75" customHeight="1" s="121"/>
    <row r="622" ht="15.75" customHeight="1" s="121"/>
    <row r="623" ht="15.75" customHeight="1" s="121"/>
    <row r="624" ht="15.75" customHeight="1" s="121"/>
    <row r="625" ht="15.75" customHeight="1" s="121"/>
    <row r="626" ht="15.75" customHeight="1" s="121"/>
    <row r="627" ht="15.75" customHeight="1" s="121"/>
    <row r="628" ht="15.75" customHeight="1" s="121"/>
    <row r="629" ht="15.75" customHeight="1" s="121"/>
    <row r="630" ht="15.75" customHeight="1" s="121"/>
    <row r="631" ht="15.75" customHeight="1" s="121"/>
    <row r="632" ht="15.75" customHeight="1" s="121"/>
    <row r="633" ht="15.75" customHeight="1" s="121"/>
    <row r="634" ht="15.75" customHeight="1" s="121"/>
    <row r="635" ht="15.75" customHeight="1" s="121"/>
    <row r="636" ht="15.75" customHeight="1" s="121"/>
    <row r="637" ht="15.75" customHeight="1" s="121"/>
    <row r="638" ht="15.75" customHeight="1" s="121"/>
    <row r="639" ht="15.75" customHeight="1" s="121"/>
    <row r="640" ht="15.75" customHeight="1" s="121"/>
    <row r="641" ht="15.75" customHeight="1" s="121"/>
    <row r="642" ht="15.75" customHeight="1" s="121"/>
    <row r="643" ht="15.75" customHeight="1" s="121"/>
    <row r="644" ht="15.75" customHeight="1" s="121"/>
    <row r="645" ht="15.75" customHeight="1" s="121"/>
    <row r="646" ht="15.75" customHeight="1" s="121"/>
    <row r="647" ht="15.75" customHeight="1" s="121"/>
    <row r="648" ht="15.75" customHeight="1" s="121"/>
    <row r="649" ht="15.75" customHeight="1" s="121"/>
    <row r="650" ht="15.75" customHeight="1" s="121"/>
    <row r="651" ht="15.75" customHeight="1" s="121"/>
    <row r="652" ht="15.75" customHeight="1" s="121"/>
    <row r="653" ht="15.75" customHeight="1" s="121"/>
    <row r="654" ht="15.75" customHeight="1" s="121"/>
    <row r="655" ht="15.75" customHeight="1" s="121"/>
    <row r="656" ht="15.75" customHeight="1" s="121"/>
    <row r="657" ht="15.75" customHeight="1" s="121"/>
    <row r="658" ht="15.75" customHeight="1" s="121"/>
    <row r="659" ht="15.75" customHeight="1" s="121"/>
    <row r="660" ht="15.75" customHeight="1" s="121"/>
    <row r="661" ht="15.75" customHeight="1" s="121"/>
    <row r="662" ht="15.75" customHeight="1" s="121"/>
    <row r="663" ht="15.75" customHeight="1" s="121"/>
    <row r="664" ht="15.75" customHeight="1" s="121"/>
    <row r="665" ht="15.75" customHeight="1" s="121"/>
    <row r="666" ht="15.75" customHeight="1" s="121"/>
    <row r="667" ht="15.75" customHeight="1" s="121"/>
    <row r="668" ht="15.75" customHeight="1" s="121"/>
    <row r="669" ht="15.75" customHeight="1" s="121"/>
    <row r="670" ht="15.75" customHeight="1" s="121"/>
    <row r="671" ht="15.75" customHeight="1" s="121"/>
    <row r="672" ht="15.75" customHeight="1" s="121"/>
    <row r="673" ht="15.75" customHeight="1" s="121"/>
    <row r="674" ht="15.75" customHeight="1" s="121"/>
    <row r="675" ht="15.75" customHeight="1" s="121"/>
    <row r="676" ht="15.75" customHeight="1" s="121"/>
    <row r="677" ht="15.75" customHeight="1" s="121"/>
    <row r="678" ht="15.75" customHeight="1" s="121"/>
    <row r="679" ht="15.75" customHeight="1" s="121"/>
    <row r="680" ht="15.75" customHeight="1" s="121"/>
    <row r="681" ht="15.75" customHeight="1" s="121"/>
    <row r="682" ht="15.75" customHeight="1" s="121"/>
    <row r="683" ht="15.75" customHeight="1" s="121"/>
    <row r="684" ht="15.75" customHeight="1" s="121"/>
    <row r="685" ht="15.75" customHeight="1" s="121"/>
    <row r="686" ht="15.75" customHeight="1" s="121"/>
    <row r="687" ht="15.75" customHeight="1" s="121"/>
    <row r="688" ht="15.75" customHeight="1" s="121"/>
    <row r="689" ht="15.75" customHeight="1" s="121"/>
    <row r="690" ht="15.75" customHeight="1" s="121"/>
    <row r="691" ht="15.75" customHeight="1" s="121"/>
    <row r="692" ht="15.75" customHeight="1" s="121"/>
    <row r="693" ht="15.75" customHeight="1" s="121"/>
    <row r="694" ht="15.75" customHeight="1" s="121"/>
    <row r="695" ht="15.75" customHeight="1" s="121"/>
    <row r="696" ht="15.75" customHeight="1" s="121"/>
    <row r="697" ht="15.75" customHeight="1" s="121"/>
    <row r="698" ht="15.75" customHeight="1" s="121"/>
    <row r="699" ht="15.75" customHeight="1" s="121"/>
    <row r="700" ht="15.75" customHeight="1" s="121"/>
    <row r="701" ht="15.75" customHeight="1" s="121"/>
    <row r="702" ht="15.75" customHeight="1" s="121"/>
    <row r="703" ht="15.75" customHeight="1" s="121"/>
    <row r="704" ht="15.75" customHeight="1" s="121"/>
    <row r="705" ht="15.75" customHeight="1" s="121"/>
    <row r="706" ht="15.75" customHeight="1" s="121"/>
    <row r="707" ht="15.75" customHeight="1" s="121"/>
    <row r="708" ht="15.75" customHeight="1" s="121"/>
    <row r="709" ht="15.75" customHeight="1" s="121"/>
    <row r="710" ht="15.75" customHeight="1" s="121"/>
    <row r="711" ht="15.75" customHeight="1" s="121"/>
    <row r="712" ht="15.75" customHeight="1" s="121"/>
    <row r="713" ht="15.75" customHeight="1" s="121"/>
    <row r="714" ht="15.75" customHeight="1" s="121"/>
    <row r="715" ht="15.75" customHeight="1" s="121"/>
    <row r="716" ht="15.75" customHeight="1" s="121"/>
    <row r="717" ht="15.75" customHeight="1" s="121"/>
    <row r="718" ht="15.75" customHeight="1" s="121"/>
    <row r="719" ht="15.75" customHeight="1" s="121"/>
    <row r="720" ht="15.75" customHeight="1" s="121"/>
    <row r="721" ht="15.75" customHeight="1" s="121"/>
    <row r="722" ht="15.75" customHeight="1" s="121"/>
    <row r="723" ht="15.75" customHeight="1" s="121"/>
    <row r="724" ht="15.75" customHeight="1" s="121"/>
    <row r="725" ht="15.75" customHeight="1" s="121"/>
    <row r="726" ht="15.75" customHeight="1" s="121"/>
    <row r="727" ht="15.75" customHeight="1" s="121"/>
    <row r="728" ht="15.75" customHeight="1" s="121"/>
    <row r="729" ht="15.75" customHeight="1" s="121"/>
    <row r="730" ht="15.75" customHeight="1" s="121"/>
    <row r="731" ht="15.75" customHeight="1" s="121"/>
    <row r="732" ht="15.75" customHeight="1" s="121"/>
    <row r="733" ht="15.75" customHeight="1" s="121"/>
    <row r="734" ht="15.75" customHeight="1" s="121"/>
    <row r="735" ht="15.75" customHeight="1" s="121"/>
    <row r="736" ht="15.75" customHeight="1" s="121"/>
    <row r="737" ht="15.75" customHeight="1" s="121"/>
    <row r="738" ht="15.75" customHeight="1" s="121"/>
    <row r="739" ht="15.75" customHeight="1" s="121"/>
    <row r="740" ht="15.75" customHeight="1" s="121"/>
    <row r="741" ht="15.75" customHeight="1" s="121"/>
    <row r="742" ht="15.75" customHeight="1" s="121"/>
    <row r="743" ht="15.75" customHeight="1" s="121"/>
    <row r="744" ht="15.75" customHeight="1" s="121"/>
    <row r="745" ht="15.75" customHeight="1" s="121"/>
    <row r="746" ht="15.75" customHeight="1" s="121"/>
    <row r="747" ht="15.75" customHeight="1" s="121"/>
    <row r="748" ht="15.75" customHeight="1" s="121"/>
    <row r="749" ht="15.75" customHeight="1" s="121"/>
    <row r="750" ht="15.75" customHeight="1" s="121"/>
    <row r="751" ht="15.75" customHeight="1" s="121"/>
    <row r="752" ht="15.75" customHeight="1" s="121"/>
    <row r="753" ht="15.75" customHeight="1" s="121"/>
    <row r="754" ht="15.75" customHeight="1" s="121"/>
    <row r="755" ht="15.75" customHeight="1" s="121"/>
    <row r="756" ht="15.75" customHeight="1" s="121"/>
    <row r="757" ht="15.75" customHeight="1" s="121"/>
    <row r="758" ht="15.75" customHeight="1" s="121"/>
    <row r="759" ht="15.75" customHeight="1" s="121"/>
    <row r="760" ht="15.75" customHeight="1" s="121"/>
    <row r="761" ht="15.75" customHeight="1" s="121"/>
    <row r="762" ht="15.75" customHeight="1" s="121"/>
    <row r="763" ht="15.75" customHeight="1" s="121"/>
    <row r="764" ht="15.75" customHeight="1" s="121"/>
    <row r="765" ht="15.75" customHeight="1" s="121"/>
    <row r="766" ht="15.75" customHeight="1" s="121"/>
    <row r="767" ht="15.75" customHeight="1" s="121"/>
    <row r="768" ht="15.75" customHeight="1" s="121"/>
    <row r="769" ht="15.75" customHeight="1" s="121"/>
    <row r="770" ht="15.75" customHeight="1" s="121"/>
    <row r="771" ht="15.75" customHeight="1" s="121"/>
    <row r="772" ht="15.75" customHeight="1" s="121"/>
    <row r="773" ht="15.75" customHeight="1" s="121"/>
    <row r="774" ht="15.75" customHeight="1" s="121"/>
    <row r="775" ht="15.75" customHeight="1" s="121"/>
  </sheetData>
  <autoFilter ref="A4:H4"/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zoomScaleNormal="100" workbookViewId="0">
      <pane ySplit="4" topLeftCell="A5" activePane="bottomLeft" state="frozen"/>
      <selection pane="bottomLeft" activeCell="S6" sqref="S6"/>
    </sheetView>
  </sheetViews>
  <sheetFormatPr baseColWidth="8" defaultColWidth="14.42578125" defaultRowHeight="15"/>
  <cols>
    <col width="15.5703125" customWidth="1" style="121" min="1" max="1"/>
    <col width="12" customWidth="1" style="121" min="2" max="2"/>
    <col width="35" customWidth="1" style="121" min="3" max="3"/>
    <col width="40" customWidth="1" style="121" min="4" max="4"/>
    <col width="20" customWidth="1" style="121" min="5" max="5"/>
    <col width="14" customWidth="1" style="121" min="6" max="6"/>
    <col width="16" customWidth="1" style="121" min="7" max="7"/>
    <col width="14" customWidth="1" style="121" min="8" max="9"/>
    <col width="21.42578125" customWidth="1" style="121" min="10" max="10"/>
    <col width="8.7109375" customWidth="1" style="121" min="11" max="26"/>
  </cols>
  <sheetData>
    <row r="1" ht="27.75" customHeight="1" s="121">
      <c r="A1" s="125" t="inlineStr">
        <is>
          <t>DATA REQUESTS LOG — Tables need insert data</t>
        </is>
      </c>
    </row>
    <row r="2" ht="15" customHeight="1" s="121">
      <c r="A2" s="124" t="n"/>
    </row>
    <row r="4" ht="31.5" customHeight="1" s="121">
      <c r="A4" s="5" t="inlineStr">
        <is>
          <t>Batch No</t>
        </is>
      </c>
      <c r="B4" s="5" t="inlineStr">
        <is>
          <t>Send Date</t>
        </is>
      </c>
      <c r="C4" s="5" t="inlineStr">
        <is>
          <t>Menu ID</t>
        </is>
      </c>
      <c r="D4" s="5" t="inlineStr">
        <is>
          <t>Tables</t>
        </is>
      </c>
      <c r="E4" s="5" t="inlineStr">
        <is>
          <t>Number of Testcase</t>
        </is>
      </c>
      <c r="F4" s="5" t="inlineStr">
        <is>
          <t>sender</t>
        </is>
      </c>
      <c r="G4" s="5" t="inlineStr">
        <is>
          <t>HQ PIC</t>
        </is>
      </c>
      <c r="H4" s="5" t="inlineStr">
        <is>
          <t>Result Date</t>
        </is>
      </c>
      <c r="I4" s="5" t="inlineStr">
        <is>
          <t>Rquest Date</t>
        </is>
      </c>
      <c r="J4" s="5" t="inlineStr">
        <is>
          <t>Status</t>
        </is>
      </c>
    </row>
    <row r="5" ht="97.5" customHeight="1" s="121">
      <c r="A5" s="39" t="n"/>
      <c r="B5" s="39" t="n"/>
      <c r="C5" s="29" t="n"/>
      <c r="D5" s="29" t="n"/>
      <c r="E5" s="39" t="n"/>
      <c r="F5" s="39" t="n"/>
      <c r="G5" s="39" t="n"/>
      <c r="H5" s="39" t="n"/>
      <c r="I5" s="39" t="n"/>
      <c r="J5" s="39" t="n"/>
    </row>
    <row r="6" ht="97.5" customHeight="1" s="121">
      <c r="A6" s="39" t="n"/>
      <c r="B6" s="39" t="n"/>
      <c r="C6" s="29" t="n"/>
      <c r="D6" s="29" t="n"/>
      <c r="E6" s="39" t="n"/>
      <c r="F6" s="39" t="n"/>
      <c r="G6" s="39" t="n"/>
      <c r="H6" s="39" t="n"/>
      <c r="I6" s="39" t="n"/>
      <c r="J6" s="39" t="n"/>
    </row>
    <row r="7" ht="97.5" customHeight="1" s="121">
      <c r="A7" s="39" t="n"/>
      <c r="B7" s="39" t="n"/>
      <c r="C7" s="29" t="n"/>
      <c r="D7" s="29" t="n"/>
      <c r="E7" s="39" t="n"/>
      <c r="F7" s="39" t="n"/>
      <c r="G7" s="39" t="n"/>
      <c r="H7" s="39" t="n"/>
      <c r="I7" s="39" t="n"/>
      <c r="J7" s="39" t="n"/>
    </row>
    <row r="8" ht="97.5" customHeight="1" s="121">
      <c r="A8" s="39" t="n"/>
      <c r="B8" s="39" t="n"/>
      <c r="C8" s="29" t="n"/>
      <c r="D8" s="29" t="n"/>
      <c r="E8" s="39" t="n"/>
      <c r="F8" s="39" t="n"/>
      <c r="G8" s="39" t="n"/>
      <c r="H8" s="39" t="n"/>
      <c r="I8" s="39" t="n"/>
      <c r="J8" s="39" t="n"/>
    </row>
    <row r="9" ht="97.5" customHeight="1" s="121">
      <c r="A9" s="39" t="n"/>
      <c r="B9" s="39" t="n"/>
      <c r="C9" s="29" t="n"/>
      <c r="D9" s="29" t="n"/>
      <c r="E9" s="39" t="n"/>
      <c r="F9" s="39" t="n"/>
      <c r="G9" s="39" t="n"/>
      <c r="H9" s="39" t="n"/>
      <c r="I9" s="39" t="n"/>
      <c r="J9" s="39" t="n"/>
    </row>
    <row r="10" ht="97.5" customHeight="1" s="121">
      <c r="A10" s="39" t="n"/>
      <c r="B10" s="39" t="n"/>
      <c r="C10" s="29" t="n"/>
      <c r="D10" s="29" t="n"/>
      <c r="E10" s="39" t="n"/>
      <c r="F10" s="39" t="n"/>
      <c r="G10" s="39" t="n"/>
      <c r="H10" s="39" t="n"/>
      <c r="I10" s="39" t="n"/>
      <c r="J10" s="39" t="n"/>
    </row>
    <row r="11" ht="97.5" customHeight="1" s="121">
      <c r="A11" s="39" t="n"/>
      <c r="B11" s="39" t="n"/>
      <c r="C11" s="29" t="n"/>
      <c r="D11" s="29" t="n"/>
      <c r="E11" s="39" t="n"/>
      <c r="F11" s="39" t="n"/>
      <c r="G11" s="39" t="n"/>
      <c r="H11" s="39" t="n"/>
      <c r="I11" s="39" t="n"/>
      <c r="J11" s="39" t="n"/>
    </row>
    <row r="12" ht="97.5" customHeight="1" s="121">
      <c r="A12" s="39" t="n"/>
      <c r="B12" s="39" t="n"/>
      <c r="C12" s="29" t="n"/>
      <c r="D12" s="29" t="n"/>
      <c r="E12" s="39" t="n"/>
      <c r="F12" s="39" t="n"/>
      <c r="G12" s="39" t="n"/>
      <c r="H12" s="39" t="n"/>
      <c r="I12" s="39" t="n"/>
      <c r="J12" s="39" t="n"/>
    </row>
    <row r="13" ht="97.5" customHeight="1" s="121">
      <c r="A13" s="39" t="n"/>
      <c r="B13" s="39" t="n"/>
      <c r="C13" s="29" t="n"/>
      <c r="D13" s="29" t="n"/>
      <c r="E13" s="39" t="n"/>
      <c r="F13" s="39" t="n"/>
      <c r="G13" s="39" t="n"/>
      <c r="H13" s="39" t="n"/>
      <c r="I13" s="39" t="n"/>
      <c r="J13" s="39" t="n"/>
    </row>
    <row r="14" ht="97.5" customHeight="1" s="121">
      <c r="A14" s="39" t="n"/>
      <c r="B14" s="39" t="n"/>
      <c r="C14" s="29" t="n"/>
      <c r="D14" s="29" t="n"/>
      <c r="E14" s="39" t="n"/>
      <c r="F14" s="39" t="n"/>
      <c r="G14" s="39" t="n"/>
      <c r="H14" s="39" t="n"/>
      <c r="I14" s="39" t="n"/>
      <c r="J14" s="39" t="n"/>
    </row>
    <row r="15" ht="97.5" customHeight="1" s="121">
      <c r="A15" s="39" t="n"/>
      <c r="B15" s="39" t="n"/>
      <c r="C15" s="29" t="n"/>
      <c r="D15" s="29" t="n"/>
      <c r="E15" s="39" t="n"/>
      <c r="F15" s="39" t="n"/>
      <c r="G15" s="39" t="n"/>
      <c r="H15" s="39" t="n"/>
      <c r="I15" s="39" t="n"/>
      <c r="J15" s="39" t="n"/>
    </row>
    <row r="16" ht="97.5" customHeight="1" s="121">
      <c r="A16" s="39" t="n"/>
      <c r="B16" s="39" t="n"/>
      <c r="C16" s="29" t="n"/>
      <c r="D16" s="29" t="n"/>
      <c r="E16" s="39" t="n"/>
      <c r="F16" s="39" t="n"/>
      <c r="G16" s="39" t="n"/>
      <c r="H16" s="39" t="n"/>
      <c r="I16" s="39" t="n"/>
      <c r="J16" s="39" t="n"/>
    </row>
    <row r="17" ht="97.5" customHeight="1" s="121">
      <c r="A17" s="39" t="n"/>
      <c r="B17" s="39" t="n"/>
      <c r="C17" s="29" t="n"/>
      <c r="D17" s="29" t="n"/>
      <c r="E17" s="39" t="n"/>
      <c r="F17" s="39" t="n"/>
      <c r="G17" s="39" t="n"/>
      <c r="H17" s="39" t="n"/>
      <c r="I17" s="39" t="n"/>
      <c r="J17" s="39" t="n"/>
    </row>
    <row r="18" ht="97.5" customHeight="1" s="121">
      <c r="A18" s="39" t="n"/>
      <c r="B18" s="39" t="n"/>
      <c r="C18" s="29" t="n"/>
      <c r="D18" s="29" t="n"/>
      <c r="E18" s="39" t="n"/>
      <c r="F18" s="39" t="n"/>
      <c r="G18" s="39" t="n"/>
      <c r="H18" s="39" t="n"/>
      <c r="I18" s="39" t="n"/>
      <c r="J18" s="39" t="n"/>
    </row>
    <row r="19" ht="97.5" customHeight="1" s="121">
      <c r="A19" s="39" t="n"/>
      <c r="B19" s="39" t="n"/>
      <c r="C19" s="29" t="n"/>
      <c r="D19" s="29" t="n"/>
      <c r="E19" s="39" t="n"/>
      <c r="F19" s="39" t="n"/>
      <c r="G19" s="39" t="n"/>
      <c r="H19" s="39" t="n"/>
      <c r="I19" s="39" t="n"/>
      <c r="J19" s="39" t="n"/>
    </row>
    <row r="20" ht="97.5" customHeight="1" s="121">
      <c r="A20" s="39" t="n"/>
      <c r="B20" s="39" t="n"/>
      <c r="C20" s="29" t="n"/>
      <c r="D20" s="29" t="n"/>
      <c r="E20" s="39" t="n"/>
      <c r="F20" s="39" t="n"/>
      <c r="G20" s="39" t="n"/>
      <c r="H20" s="39" t="n"/>
      <c r="I20" s="39" t="n"/>
      <c r="J20" s="39" t="n"/>
    </row>
    <row r="21" ht="97.5" customHeight="1" s="121">
      <c r="A21" s="39" t="n"/>
      <c r="B21" s="39" t="n"/>
      <c r="C21" s="29" t="n"/>
      <c r="D21" s="29" t="n"/>
      <c r="E21" s="39" t="n"/>
      <c r="F21" s="39" t="n"/>
      <c r="G21" s="39" t="n"/>
      <c r="H21" s="39" t="n"/>
      <c r="I21" s="39" t="n"/>
      <c r="J21" s="39" t="n"/>
    </row>
    <row r="22" ht="15.75" customHeight="1" s="121"/>
    <row r="23" ht="15.75" customHeight="1" s="121"/>
    <row r="24" ht="15.75" customHeight="1" s="121"/>
    <row r="25" ht="15.75" customHeight="1" s="121"/>
    <row r="26" ht="15.75" customHeight="1" s="121"/>
    <row r="27" ht="15.75" customHeight="1" s="121"/>
    <row r="28" ht="15.75" customHeight="1" s="121"/>
    <row r="29" ht="15.75" customHeight="1" s="121"/>
    <row r="30" ht="15.75" customHeight="1" s="121"/>
    <row r="31" ht="15.75" customHeight="1" s="121"/>
    <row r="32" ht="15.75" customHeight="1" s="121"/>
    <row r="33" ht="15.75" customHeight="1" s="121"/>
    <row r="34" ht="15.75" customHeight="1" s="121"/>
    <row r="35" ht="15.75" customHeight="1" s="121"/>
    <row r="36" ht="15.75" customHeight="1" s="121"/>
    <row r="37" ht="15.75" customHeight="1" s="121"/>
    <row r="38" ht="15.75" customHeight="1" s="121"/>
    <row r="39" ht="15.75" customHeight="1" s="121"/>
    <row r="40" ht="15.75" customHeight="1" s="121"/>
    <row r="41" ht="15.75" customHeight="1" s="121"/>
    <row r="42" ht="15.75" customHeight="1" s="121"/>
    <row r="43" ht="15.75" customHeight="1" s="121"/>
    <row r="44" ht="15.75" customHeight="1" s="121"/>
    <row r="45" ht="15.75" customHeight="1" s="121"/>
    <row r="46" ht="15.75" customHeight="1" s="121"/>
    <row r="47" ht="15.75" customHeight="1" s="121"/>
    <row r="48" ht="15.75" customHeight="1" s="121"/>
    <row r="49" ht="15.75" customHeight="1" s="121"/>
    <row r="50" ht="15.75" customHeight="1" s="121"/>
    <row r="51" ht="15.75" customHeight="1" s="121"/>
    <row r="52" ht="15.75" customHeight="1" s="121"/>
    <row r="53" ht="15.75" customHeight="1" s="121"/>
    <row r="54" ht="15.75" customHeight="1" s="121"/>
    <row r="55" ht="15.75" customHeight="1" s="121"/>
    <row r="56" ht="15.75" customHeight="1" s="121"/>
    <row r="57" ht="15.75" customHeight="1" s="121"/>
    <row r="58" ht="15.75" customHeight="1" s="121"/>
    <row r="59" ht="15.75" customHeight="1" s="121"/>
    <row r="60" ht="15.75" customHeight="1" s="121"/>
    <row r="61" ht="15.75" customHeight="1" s="121"/>
    <row r="62" ht="15.75" customHeight="1" s="121"/>
    <row r="63" ht="15.75" customHeight="1" s="121"/>
    <row r="64" ht="15.75" customHeight="1" s="121"/>
    <row r="65" ht="15.75" customHeight="1" s="121"/>
    <row r="66" ht="15.75" customHeight="1" s="121"/>
    <row r="67" ht="15.75" customHeight="1" s="121"/>
    <row r="68" ht="15.75" customHeight="1" s="121"/>
    <row r="69" ht="15.75" customHeight="1" s="121"/>
    <row r="70" ht="15.75" customHeight="1" s="121"/>
    <row r="71" ht="15.75" customHeight="1" s="121"/>
    <row r="72" ht="15.75" customHeight="1" s="121"/>
    <row r="73" ht="15.75" customHeight="1" s="121"/>
    <row r="74" ht="15.75" customHeight="1" s="121"/>
    <row r="75" ht="15.75" customHeight="1" s="121"/>
    <row r="76" ht="15.75" customHeight="1" s="121"/>
    <row r="77" ht="15.75" customHeight="1" s="121"/>
    <row r="78" ht="15.75" customHeight="1" s="121"/>
    <row r="79" ht="15.75" customHeight="1" s="121"/>
    <row r="80" ht="15.75" customHeight="1" s="121"/>
    <row r="81" ht="15.75" customHeight="1" s="121"/>
    <row r="82" ht="15.75" customHeight="1" s="121"/>
    <row r="83" ht="15.75" customHeight="1" s="121"/>
    <row r="84" ht="15.75" customHeight="1" s="121"/>
    <row r="85" ht="15.75" customHeight="1" s="121"/>
    <row r="86" ht="15.75" customHeight="1" s="121"/>
    <row r="87" ht="15.75" customHeight="1" s="121"/>
    <row r="88" ht="15.75" customHeight="1" s="121"/>
    <row r="89" ht="15.75" customHeight="1" s="121"/>
    <row r="90" ht="15.75" customHeight="1" s="121"/>
    <row r="91" ht="15.75" customHeight="1" s="121"/>
    <row r="92" ht="15.75" customHeight="1" s="121"/>
    <row r="93" ht="15.75" customHeight="1" s="121"/>
    <row r="94" ht="15.75" customHeight="1" s="121"/>
    <row r="95" ht="15.75" customHeight="1" s="121"/>
    <row r="96" ht="15.75" customHeight="1" s="121"/>
    <row r="97" ht="15.75" customHeight="1" s="121"/>
    <row r="98" ht="15.75" customHeight="1" s="121"/>
    <row r="99" ht="15.75" customHeight="1" s="121"/>
    <row r="100" ht="15.75" customHeight="1" s="121"/>
    <row r="101" ht="15.75" customHeight="1" s="121"/>
    <row r="102" ht="15.75" customHeight="1" s="121"/>
    <row r="103" ht="15.75" customHeight="1" s="121"/>
    <row r="104" ht="15.75" customHeight="1" s="121"/>
    <row r="105" ht="15.75" customHeight="1" s="121"/>
    <row r="106" ht="15.75" customHeight="1" s="121"/>
    <row r="107" ht="15.75" customHeight="1" s="121"/>
    <row r="108" ht="15.75" customHeight="1" s="121"/>
    <row r="109" ht="15.75" customHeight="1" s="121"/>
    <row r="110" ht="15.75" customHeight="1" s="121"/>
    <row r="111" ht="15.75" customHeight="1" s="121"/>
    <row r="112" ht="15.75" customHeight="1" s="121"/>
    <row r="113" ht="15.75" customHeight="1" s="121"/>
    <row r="114" ht="15.75" customHeight="1" s="121"/>
    <row r="115" ht="15.75" customHeight="1" s="121"/>
    <row r="116" ht="15.75" customHeight="1" s="121"/>
    <row r="117" ht="15.75" customHeight="1" s="121"/>
    <row r="118" ht="15.75" customHeight="1" s="121"/>
    <row r="119" ht="15.75" customHeight="1" s="121"/>
    <row r="120" ht="15.75" customHeight="1" s="121"/>
    <row r="121" ht="15.75" customHeight="1" s="121"/>
    <row r="122" ht="15.75" customHeight="1" s="121"/>
    <row r="123" ht="15.75" customHeight="1" s="121"/>
    <row r="124" ht="15.75" customHeight="1" s="121"/>
    <row r="125" ht="15.75" customHeight="1" s="121"/>
    <row r="126" ht="15.75" customHeight="1" s="121"/>
    <row r="127" ht="15.75" customHeight="1" s="121"/>
    <row r="128" ht="15.75" customHeight="1" s="121"/>
    <row r="129" ht="15.75" customHeight="1" s="121"/>
    <row r="130" ht="15.75" customHeight="1" s="121"/>
    <row r="131" ht="15.75" customHeight="1" s="121"/>
    <row r="132" ht="15.75" customHeight="1" s="121"/>
    <row r="133" ht="15.75" customHeight="1" s="121"/>
    <row r="134" ht="15.75" customHeight="1" s="121"/>
    <row r="135" ht="15.75" customHeight="1" s="121"/>
    <row r="136" ht="15.75" customHeight="1" s="121"/>
    <row r="137" ht="15.75" customHeight="1" s="121"/>
    <row r="138" ht="15.75" customHeight="1" s="121"/>
    <row r="139" ht="15.75" customHeight="1" s="121"/>
    <row r="140" ht="15.75" customHeight="1" s="121"/>
    <row r="141" ht="15.75" customHeight="1" s="121"/>
    <row r="142" ht="15.75" customHeight="1" s="121"/>
    <row r="143" ht="15.75" customHeight="1" s="121"/>
    <row r="144" ht="15.75" customHeight="1" s="121"/>
    <row r="145" ht="15.75" customHeight="1" s="121"/>
    <row r="146" ht="15.75" customHeight="1" s="121"/>
    <row r="147" ht="15.75" customHeight="1" s="121"/>
    <row r="148" ht="15.75" customHeight="1" s="121"/>
    <row r="149" ht="15.75" customHeight="1" s="121"/>
    <row r="150" ht="15.75" customHeight="1" s="121"/>
    <row r="151" ht="15.75" customHeight="1" s="121"/>
    <row r="152" ht="15.75" customHeight="1" s="121"/>
    <row r="153" ht="15.75" customHeight="1" s="121"/>
    <row r="154" ht="15.75" customHeight="1" s="121"/>
    <row r="155" ht="15.75" customHeight="1" s="121"/>
    <row r="156" ht="15.75" customHeight="1" s="121"/>
    <row r="157" ht="15.75" customHeight="1" s="121"/>
    <row r="158" ht="15.75" customHeight="1" s="121"/>
    <row r="159" ht="15.75" customHeight="1" s="121"/>
    <row r="160" ht="15.75" customHeight="1" s="121"/>
    <row r="161" ht="15.75" customHeight="1" s="121"/>
    <row r="162" ht="15.75" customHeight="1" s="121"/>
    <row r="163" ht="15.75" customHeight="1" s="121"/>
    <row r="164" ht="15.75" customHeight="1" s="121"/>
    <row r="165" ht="15.75" customHeight="1" s="121"/>
    <row r="166" ht="15.75" customHeight="1" s="121"/>
    <row r="167" ht="15.75" customHeight="1" s="121"/>
    <row r="168" ht="15.75" customHeight="1" s="121"/>
    <row r="169" ht="15.75" customHeight="1" s="121"/>
    <row r="170" ht="15.75" customHeight="1" s="121"/>
    <row r="171" ht="15.75" customHeight="1" s="121"/>
    <row r="172" ht="15.75" customHeight="1" s="121"/>
    <row r="173" ht="15.75" customHeight="1" s="121"/>
    <row r="174" ht="15.75" customHeight="1" s="121"/>
    <row r="175" ht="15.75" customHeight="1" s="121"/>
    <row r="176" ht="15.75" customHeight="1" s="121"/>
    <row r="177" ht="15.75" customHeight="1" s="121"/>
    <row r="178" ht="15.75" customHeight="1" s="121"/>
    <row r="179" ht="15.75" customHeight="1" s="121"/>
    <row r="180" ht="15.75" customHeight="1" s="121"/>
    <row r="181" ht="15.75" customHeight="1" s="121"/>
    <row r="182" ht="15.75" customHeight="1" s="121"/>
    <row r="183" ht="15.75" customHeight="1" s="121"/>
    <row r="184" ht="15.75" customHeight="1" s="121"/>
    <row r="185" ht="15.75" customHeight="1" s="121"/>
    <row r="186" ht="15.75" customHeight="1" s="121"/>
    <row r="187" ht="15.75" customHeight="1" s="121"/>
    <row r="188" ht="15.75" customHeight="1" s="121"/>
    <row r="189" ht="15.75" customHeight="1" s="121"/>
    <row r="190" ht="15.75" customHeight="1" s="121"/>
    <row r="191" ht="15.75" customHeight="1" s="121"/>
    <row r="192" ht="15.75" customHeight="1" s="121"/>
    <row r="193" ht="15.75" customHeight="1" s="121"/>
    <row r="194" ht="15.75" customHeight="1" s="121"/>
    <row r="195" ht="15.75" customHeight="1" s="121"/>
    <row r="196" ht="15.75" customHeight="1" s="121"/>
    <row r="197" ht="15.75" customHeight="1" s="121"/>
    <row r="198" ht="15.75" customHeight="1" s="121"/>
    <row r="199" ht="15.75" customHeight="1" s="121"/>
    <row r="200" ht="15.75" customHeight="1" s="121"/>
    <row r="201" ht="15.75" customHeight="1" s="121"/>
    <row r="202" ht="15.75" customHeight="1" s="121"/>
    <row r="203" ht="15.75" customHeight="1" s="121"/>
    <row r="204" ht="15.75" customHeight="1" s="121"/>
    <row r="205" ht="15.75" customHeight="1" s="121"/>
    <row r="206" ht="15.75" customHeight="1" s="121"/>
    <row r="207" ht="15.75" customHeight="1" s="121"/>
    <row r="208" ht="15.75" customHeight="1" s="121"/>
    <row r="209" ht="15.75" customHeight="1" s="121"/>
    <row r="210" ht="15.75" customHeight="1" s="121"/>
    <row r="211" ht="15.75" customHeight="1" s="121"/>
    <row r="212" ht="15.75" customHeight="1" s="121"/>
    <row r="213" ht="15.75" customHeight="1" s="121"/>
    <row r="214" ht="15.75" customHeight="1" s="121"/>
    <row r="215" ht="15.75" customHeight="1" s="121"/>
    <row r="216" ht="15.75" customHeight="1" s="121"/>
    <row r="217" ht="15.75" customHeight="1" s="121"/>
    <row r="218" ht="15.75" customHeight="1" s="121"/>
    <row r="219" ht="15.75" customHeight="1" s="121"/>
    <row r="220" ht="15.75" customHeight="1" s="121"/>
    <row r="221" ht="15.75" customHeight="1" s="121"/>
    <row r="222" ht="15.75" customHeight="1" s="121"/>
    <row r="223" ht="15.75" customHeight="1" s="121"/>
    <row r="224" ht="15.75" customHeight="1" s="121"/>
    <row r="225" ht="15.75" customHeight="1" s="121"/>
    <row r="226" ht="15.75" customHeight="1" s="121"/>
    <row r="227" ht="15.75" customHeight="1" s="121"/>
    <row r="228" ht="15.75" customHeight="1" s="121"/>
    <row r="229" ht="15.75" customHeight="1" s="121"/>
    <row r="230" ht="15.75" customHeight="1" s="121"/>
    <row r="231" ht="15.75" customHeight="1" s="121"/>
    <row r="232" ht="15.75" customHeight="1" s="121"/>
    <row r="233" ht="15.75" customHeight="1" s="121"/>
    <row r="234" ht="15.75" customHeight="1" s="121"/>
    <row r="235" ht="15.75" customHeight="1" s="121"/>
    <row r="236" ht="15.75" customHeight="1" s="121"/>
    <row r="237" ht="15.75" customHeight="1" s="121"/>
    <row r="238" ht="15.75" customHeight="1" s="121"/>
    <row r="239" ht="15.75" customHeight="1" s="121"/>
    <row r="240" ht="15.75" customHeight="1" s="121"/>
    <row r="241" ht="15.75" customHeight="1" s="121"/>
    <row r="242" ht="15.75" customHeight="1" s="121"/>
    <row r="243" ht="15.75" customHeight="1" s="121"/>
    <row r="244" ht="15.75" customHeight="1" s="121"/>
    <row r="245" ht="15.75" customHeight="1" s="121"/>
    <row r="246" ht="15.75" customHeight="1" s="121"/>
    <row r="247" ht="15.75" customHeight="1" s="121"/>
    <row r="248" ht="15.75" customHeight="1" s="121"/>
    <row r="249" ht="15.75" customHeight="1" s="121"/>
    <row r="250" ht="15.75" customHeight="1" s="121"/>
    <row r="251" ht="15.75" customHeight="1" s="121"/>
    <row r="252" ht="15.75" customHeight="1" s="121"/>
    <row r="253" ht="15.75" customHeight="1" s="121"/>
    <row r="254" ht="15.75" customHeight="1" s="121"/>
    <row r="255" ht="15.75" customHeight="1" s="121"/>
    <row r="256" ht="15.75" customHeight="1" s="121"/>
    <row r="257" ht="15.75" customHeight="1" s="121"/>
    <row r="258" ht="15.75" customHeight="1" s="121"/>
    <row r="259" ht="15.75" customHeight="1" s="121"/>
    <row r="260" ht="15.75" customHeight="1" s="121"/>
    <row r="261" ht="15.75" customHeight="1" s="121"/>
    <row r="262" ht="15.75" customHeight="1" s="121"/>
    <row r="263" ht="15.75" customHeight="1" s="121"/>
    <row r="264" ht="15.75" customHeight="1" s="121"/>
    <row r="265" ht="15.75" customHeight="1" s="121"/>
    <row r="266" ht="15.75" customHeight="1" s="121"/>
    <row r="267" ht="15.75" customHeight="1" s="121"/>
    <row r="268" ht="15.75" customHeight="1" s="121"/>
    <row r="269" ht="15.75" customHeight="1" s="121"/>
    <row r="270" ht="15.75" customHeight="1" s="121"/>
    <row r="271" ht="15.75" customHeight="1" s="121"/>
    <row r="272" ht="15.75" customHeight="1" s="121"/>
    <row r="273" ht="15.75" customHeight="1" s="121"/>
    <row r="274" ht="15.75" customHeight="1" s="121"/>
    <row r="275" ht="15.75" customHeight="1" s="121"/>
    <row r="276" ht="15.75" customHeight="1" s="121"/>
    <row r="277" ht="15.75" customHeight="1" s="121"/>
    <row r="278" ht="15.75" customHeight="1" s="121"/>
    <row r="279" ht="15.75" customHeight="1" s="121"/>
    <row r="280" ht="15.75" customHeight="1" s="121"/>
    <row r="281" ht="15.75" customHeight="1" s="121"/>
    <row r="282" ht="15.75" customHeight="1" s="121"/>
    <row r="283" ht="15.75" customHeight="1" s="121"/>
    <row r="284" ht="15.75" customHeight="1" s="121"/>
    <row r="285" ht="15.75" customHeight="1" s="121"/>
    <row r="286" ht="15.75" customHeight="1" s="121"/>
    <row r="287" ht="15.75" customHeight="1" s="121"/>
    <row r="288" ht="15.75" customHeight="1" s="121"/>
    <row r="289" ht="15.75" customHeight="1" s="121"/>
    <row r="290" ht="15.75" customHeight="1" s="121"/>
    <row r="291" ht="15.75" customHeight="1" s="121"/>
    <row r="292" ht="15.75" customHeight="1" s="121"/>
    <row r="293" ht="15.75" customHeight="1" s="121"/>
    <row r="294" ht="15.75" customHeight="1" s="121"/>
    <row r="295" ht="15.75" customHeight="1" s="121"/>
    <row r="296" ht="15.75" customHeight="1" s="121"/>
    <row r="297" ht="15.75" customHeight="1" s="121"/>
    <row r="298" ht="15.75" customHeight="1" s="121"/>
    <row r="299" ht="15.75" customHeight="1" s="121"/>
    <row r="300" ht="15.75" customHeight="1" s="121"/>
    <row r="301" ht="15.75" customHeight="1" s="121"/>
    <row r="302" ht="15.75" customHeight="1" s="121"/>
    <row r="303" ht="15.75" customHeight="1" s="121"/>
    <row r="304" ht="15.75" customHeight="1" s="121"/>
    <row r="305" ht="15.75" customHeight="1" s="121"/>
    <row r="306" ht="15.75" customHeight="1" s="121"/>
    <row r="307" ht="15.75" customHeight="1" s="121"/>
    <row r="308" ht="15.75" customHeight="1" s="121"/>
    <row r="309" ht="15.75" customHeight="1" s="121"/>
    <row r="310" ht="15.75" customHeight="1" s="121"/>
    <row r="311" ht="15.75" customHeight="1" s="121"/>
    <row r="312" ht="15.75" customHeight="1" s="121"/>
    <row r="313" ht="15.75" customHeight="1" s="121"/>
    <row r="314" ht="15.75" customHeight="1" s="121"/>
    <row r="315" ht="15.75" customHeight="1" s="121"/>
    <row r="316" ht="15.75" customHeight="1" s="121"/>
    <row r="317" ht="15.75" customHeight="1" s="121"/>
    <row r="318" ht="15.75" customHeight="1" s="121"/>
    <row r="319" ht="15.75" customHeight="1" s="121"/>
    <row r="320" ht="15.75" customHeight="1" s="121"/>
    <row r="321" ht="15.75" customHeight="1" s="121"/>
    <row r="322" ht="15.75" customHeight="1" s="121"/>
    <row r="323" ht="15.75" customHeight="1" s="121"/>
    <row r="324" ht="15.75" customHeight="1" s="121"/>
    <row r="325" ht="15.75" customHeight="1" s="121"/>
    <row r="326" ht="15.75" customHeight="1" s="121"/>
    <row r="327" ht="15.75" customHeight="1" s="121"/>
    <row r="328" ht="15.75" customHeight="1" s="121"/>
    <row r="329" ht="15.75" customHeight="1" s="121"/>
    <row r="330" ht="15.75" customHeight="1" s="121"/>
    <row r="331" ht="15.75" customHeight="1" s="121"/>
    <row r="332" ht="15.75" customHeight="1" s="121"/>
    <row r="333" ht="15.75" customHeight="1" s="121"/>
    <row r="334" ht="15.75" customHeight="1" s="121"/>
    <row r="335" ht="15.75" customHeight="1" s="121"/>
    <row r="336" ht="15.75" customHeight="1" s="121"/>
    <row r="337" ht="15.75" customHeight="1" s="121"/>
    <row r="338" ht="15.75" customHeight="1" s="121"/>
    <row r="339" ht="15.75" customHeight="1" s="121"/>
    <row r="340" ht="15.75" customHeight="1" s="121"/>
    <row r="341" ht="15.75" customHeight="1" s="121"/>
    <row r="342" ht="15.75" customHeight="1" s="121"/>
    <row r="343" ht="15.75" customHeight="1" s="121"/>
    <row r="344" ht="15.75" customHeight="1" s="121"/>
    <row r="345" ht="15.75" customHeight="1" s="121"/>
    <row r="346" ht="15.75" customHeight="1" s="121"/>
    <row r="347" ht="15.75" customHeight="1" s="121"/>
    <row r="348" ht="15.75" customHeight="1" s="121"/>
    <row r="349" ht="15.75" customHeight="1" s="121"/>
    <row r="350" ht="15.75" customHeight="1" s="121"/>
    <row r="351" ht="15.75" customHeight="1" s="121"/>
    <row r="352" ht="15.75" customHeight="1" s="121"/>
    <row r="353" ht="15.75" customHeight="1" s="121"/>
    <row r="354" ht="15.75" customHeight="1" s="121"/>
    <row r="355" ht="15.75" customHeight="1" s="121"/>
    <row r="356" ht="15.75" customHeight="1" s="121"/>
    <row r="357" ht="15.75" customHeight="1" s="121"/>
    <row r="358" ht="15.75" customHeight="1" s="121"/>
    <row r="359" ht="15.75" customHeight="1" s="121"/>
    <row r="360" ht="15.75" customHeight="1" s="121"/>
    <row r="361" ht="15.75" customHeight="1" s="121"/>
    <row r="362" ht="15.75" customHeight="1" s="121"/>
    <row r="363" ht="15.75" customHeight="1" s="121"/>
    <row r="364" ht="15.75" customHeight="1" s="121"/>
    <row r="365" ht="15.75" customHeight="1" s="121"/>
    <row r="366" ht="15.75" customHeight="1" s="121"/>
    <row r="367" ht="15.75" customHeight="1" s="121"/>
    <row r="368" ht="15.75" customHeight="1" s="121"/>
    <row r="369" ht="15.75" customHeight="1" s="121"/>
    <row r="370" ht="15.75" customHeight="1" s="121"/>
    <row r="371" ht="15.75" customHeight="1" s="121"/>
    <row r="372" ht="15.75" customHeight="1" s="121"/>
    <row r="373" ht="15.75" customHeight="1" s="121"/>
    <row r="374" ht="15.75" customHeight="1" s="121"/>
    <row r="375" ht="15.75" customHeight="1" s="121"/>
    <row r="376" ht="15.75" customHeight="1" s="121"/>
    <row r="377" ht="15.75" customHeight="1" s="121"/>
    <row r="378" ht="15.75" customHeight="1" s="121"/>
    <row r="379" ht="15.75" customHeight="1" s="121"/>
    <row r="380" ht="15.75" customHeight="1" s="121"/>
    <row r="381" ht="15.75" customHeight="1" s="121"/>
    <row r="382" ht="15.75" customHeight="1" s="121"/>
    <row r="383" ht="15.75" customHeight="1" s="121"/>
    <row r="384" ht="15.75" customHeight="1" s="121"/>
    <row r="385" ht="15.75" customHeight="1" s="121"/>
    <row r="386" ht="15.75" customHeight="1" s="121"/>
    <row r="387" ht="15.75" customHeight="1" s="121"/>
    <row r="388" ht="15.75" customHeight="1" s="121"/>
    <row r="389" ht="15.75" customHeight="1" s="121"/>
    <row r="390" ht="15.75" customHeight="1" s="121"/>
    <row r="391" ht="15.75" customHeight="1" s="121"/>
    <row r="392" ht="15.75" customHeight="1" s="121"/>
    <row r="393" ht="15.75" customHeight="1" s="121"/>
    <row r="394" ht="15.75" customHeight="1" s="121"/>
    <row r="395" ht="15.75" customHeight="1" s="121"/>
    <row r="396" ht="15.75" customHeight="1" s="121"/>
    <row r="397" ht="15.75" customHeight="1" s="121"/>
    <row r="398" ht="15.75" customHeight="1" s="121"/>
    <row r="399" ht="15.75" customHeight="1" s="121"/>
    <row r="400" ht="15.75" customHeight="1" s="121"/>
    <row r="401" ht="15.75" customHeight="1" s="121"/>
    <row r="402" ht="15.75" customHeight="1" s="121"/>
    <row r="403" ht="15.75" customHeight="1" s="121"/>
    <row r="404" ht="15.75" customHeight="1" s="121"/>
    <row r="405" ht="15.75" customHeight="1" s="121"/>
    <row r="406" ht="15.75" customHeight="1" s="121"/>
    <row r="407" ht="15.75" customHeight="1" s="121"/>
    <row r="408" ht="15.75" customHeight="1" s="121"/>
    <row r="409" ht="15.75" customHeight="1" s="121"/>
    <row r="410" ht="15.75" customHeight="1" s="121"/>
    <row r="411" ht="15.75" customHeight="1" s="121"/>
    <row r="412" ht="15.75" customHeight="1" s="121"/>
    <row r="413" ht="15.75" customHeight="1" s="121"/>
    <row r="414" ht="15.75" customHeight="1" s="121"/>
    <row r="415" ht="15.75" customHeight="1" s="121"/>
    <row r="416" ht="15.75" customHeight="1" s="121"/>
    <row r="417" ht="15.75" customHeight="1" s="121"/>
    <row r="418" ht="15.75" customHeight="1" s="121"/>
    <row r="419" ht="15.75" customHeight="1" s="121"/>
    <row r="420" ht="15.75" customHeight="1" s="121"/>
    <row r="421" ht="15.75" customHeight="1" s="121"/>
    <row r="422" ht="15.75" customHeight="1" s="121"/>
    <row r="423" ht="15.75" customHeight="1" s="121"/>
    <row r="424" ht="15.75" customHeight="1" s="121"/>
    <row r="425" ht="15.75" customHeight="1" s="121"/>
    <row r="426" ht="15.75" customHeight="1" s="121"/>
    <row r="427" ht="15.75" customHeight="1" s="121"/>
    <row r="428" ht="15.75" customHeight="1" s="121"/>
    <row r="429" ht="15.75" customHeight="1" s="121"/>
    <row r="430" ht="15.75" customHeight="1" s="121"/>
    <row r="431" ht="15.75" customHeight="1" s="121"/>
    <row r="432" ht="15.75" customHeight="1" s="121"/>
    <row r="433" ht="15.75" customHeight="1" s="121"/>
    <row r="434" ht="15.75" customHeight="1" s="121"/>
    <row r="435" ht="15.75" customHeight="1" s="121"/>
    <row r="436" ht="15.75" customHeight="1" s="121"/>
    <row r="437" ht="15.75" customHeight="1" s="121"/>
    <row r="438" ht="15.75" customHeight="1" s="121"/>
    <row r="439" ht="15.75" customHeight="1" s="121"/>
    <row r="440" ht="15.75" customHeight="1" s="121"/>
    <row r="441" ht="15.75" customHeight="1" s="121"/>
    <row r="442" ht="15.75" customHeight="1" s="121"/>
    <row r="443" ht="15.75" customHeight="1" s="121"/>
    <row r="444" ht="15.75" customHeight="1" s="121"/>
    <row r="445" ht="15.75" customHeight="1" s="121"/>
    <row r="446" ht="15.75" customHeight="1" s="121"/>
    <row r="447" ht="15.75" customHeight="1" s="121"/>
    <row r="448" ht="15.75" customHeight="1" s="121"/>
    <row r="449" ht="15.75" customHeight="1" s="121"/>
    <row r="450" ht="15.75" customHeight="1" s="121"/>
    <row r="451" ht="15.75" customHeight="1" s="121"/>
    <row r="452" ht="15.75" customHeight="1" s="121"/>
    <row r="453" ht="15.75" customHeight="1" s="121"/>
    <row r="454" ht="15.75" customHeight="1" s="121"/>
    <row r="455" ht="15.75" customHeight="1" s="121"/>
    <row r="456" ht="15.75" customHeight="1" s="121"/>
    <row r="457" ht="15.75" customHeight="1" s="121"/>
    <row r="458" ht="15.75" customHeight="1" s="121"/>
    <row r="459" ht="15.75" customHeight="1" s="121"/>
    <row r="460" ht="15.75" customHeight="1" s="121"/>
    <row r="461" ht="15.75" customHeight="1" s="121"/>
    <row r="462" ht="15.75" customHeight="1" s="121"/>
    <row r="463" ht="15.75" customHeight="1" s="121"/>
    <row r="464" ht="15.75" customHeight="1" s="121"/>
    <row r="465" ht="15.75" customHeight="1" s="121"/>
    <row r="466" ht="15.75" customHeight="1" s="121"/>
    <row r="467" ht="15.75" customHeight="1" s="121"/>
    <row r="468" ht="15.75" customHeight="1" s="121"/>
    <row r="469" ht="15.75" customHeight="1" s="121"/>
    <row r="470" ht="15.75" customHeight="1" s="121"/>
    <row r="471" ht="15.75" customHeight="1" s="121"/>
    <row r="472" ht="15.75" customHeight="1" s="121"/>
    <row r="473" ht="15.75" customHeight="1" s="121"/>
    <row r="474" ht="15.75" customHeight="1" s="121"/>
    <row r="475" ht="15.75" customHeight="1" s="121"/>
    <row r="476" ht="15.75" customHeight="1" s="121"/>
    <row r="477" ht="15.75" customHeight="1" s="121"/>
    <row r="478" ht="15.75" customHeight="1" s="121"/>
    <row r="479" ht="15.75" customHeight="1" s="121"/>
    <row r="480" ht="15.75" customHeight="1" s="121"/>
    <row r="481" ht="15.75" customHeight="1" s="121"/>
    <row r="482" ht="15.75" customHeight="1" s="121"/>
    <row r="483" ht="15.75" customHeight="1" s="121"/>
    <row r="484" ht="15.75" customHeight="1" s="121"/>
    <row r="485" ht="15.75" customHeight="1" s="121"/>
    <row r="486" ht="15.75" customHeight="1" s="121"/>
    <row r="487" ht="15.75" customHeight="1" s="121"/>
    <row r="488" ht="15.75" customHeight="1" s="121"/>
    <row r="489" ht="15.75" customHeight="1" s="121"/>
    <row r="490" ht="15.75" customHeight="1" s="121"/>
    <row r="491" ht="15.75" customHeight="1" s="121"/>
    <row r="492" ht="15.75" customHeight="1" s="121"/>
    <row r="493" ht="15.75" customHeight="1" s="121"/>
    <row r="494" ht="15.75" customHeight="1" s="121"/>
    <row r="495" ht="15.75" customHeight="1" s="121"/>
    <row r="496" ht="15.75" customHeight="1" s="121"/>
    <row r="497" ht="15.75" customHeight="1" s="121"/>
    <row r="498" ht="15.75" customHeight="1" s="121"/>
    <row r="499" ht="15.75" customHeight="1" s="121"/>
    <row r="500" ht="15.75" customHeight="1" s="121"/>
    <row r="501" ht="15.75" customHeight="1" s="121"/>
    <row r="502" ht="15.75" customHeight="1" s="121"/>
    <row r="503" ht="15.75" customHeight="1" s="121"/>
    <row r="504" ht="15.75" customHeight="1" s="121"/>
    <row r="505" ht="15.75" customHeight="1" s="121"/>
    <row r="506" ht="15.75" customHeight="1" s="121"/>
    <row r="507" ht="15.75" customHeight="1" s="121"/>
    <row r="508" ht="15.75" customHeight="1" s="121"/>
    <row r="509" ht="15.75" customHeight="1" s="121"/>
    <row r="510" ht="15.75" customHeight="1" s="121"/>
    <row r="511" ht="15.75" customHeight="1" s="121"/>
    <row r="512" ht="15.75" customHeight="1" s="121"/>
    <row r="513" ht="15.75" customHeight="1" s="121"/>
    <row r="514" ht="15.75" customHeight="1" s="121"/>
    <row r="515" ht="15.75" customHeight="1" s="121"/>
    <row r="516" ht="15.75" customHeight="1" s="121"/>
    <row r="517" ht="15.75" customHeight="1" s="121"/>
    <row r="518" ht="15.75" customHeight="1" s="121"/>
    <row r="519" ht="15.75" customHeight="1" s="121"/>
    <row r="520" ht="15.75" customHeight="1" s="121"/>
    <row r="521" ht="15.75" customHeight="1" s="121"/>
    <row r="522" ht="15.75" customHeight="1" s="121"/>
    <row r="523" ht="15.75" customHeight="1" s="121"/>
    <row r="524" ht="15.75" customHeight="1" s="121"/>
    <row r="525" ht="15.75" customHeight="1" s="121"/>
    <row r="526" ht="15.75" customHeight="1" s="121"/>
    <row r="527" ht="15.75" customHeight="1" s="121"/>
    <row r="528" ht="15.75" customHeight="1" s="121"/>
    <row r="529" ht="15.75" customHeight="1" s="121"/>
    <row r="530" ht="15.75" customHeight="1" s="121"/>
    <row r="531" ht="15.75" customHeight="1" s="121"/>
    <row r="532" ht="15.75" customHeight="1" s="121"/>
    <row r="533" ht="15.75" customHeight="1" s="121"/>
    <row r="534" ht="15.75" customHeight="1" s="121"/>
    <row r="535" ht="15.75" customHeight="1" s="121"/>
    <row r="536" ht="15.75" customHeight="1" s="121"/>
    <row r="537" ht="15.75" customHeight="1" s="121"/>
    <row r="538" ht="15.75" customHeight="1" s="121"/>
    <row r="539" ht="15.75" customHeight="1" s="121"/>
    <row r="540" ht="15.75" customHeight="1" s="121"/>
    <row r="541" ht="15.75" customHeight="1" s="121"/>
    <row r="542" ht="15.75" customHeight="1" s="121"/>
    <row r="543" ht="15.75" customHeight="1" s="121"/>
    <row r="544" ht="15.75" customHeight="1" s="121"/>
    <row r="545" ht="15.75" customHeight="1" s="121"/>
    <row r="546" ht="15.75" customHeight="1" s="121"/>
    <row r="547" ht="15.75" customHeight="1" s="121"/>
    <row r="548" ht="15.75" customHeight="1" s="121"/>
    <row r="549" ht="15.75" customHeight="1" s="121"/>
    <row r="550" ht="15.75" customHeight="1" s="121"/>
    <row r="551" ht="15.75" customHeight="1" s="121"/>
    <row r="552" ht="15.75" customHeight="1" s="121"/>
    <row r="553" ht="15.75" customHeight="1" s="121"/>
    <row r="554" ht="15.75" customHeight="1" s="121"/>
    <row r="555" ht="15.75" customHeight="1" s="121"/>
    <row r="556" ht="15.75" customHeight="1" s="121"/>
    <row r="557" ht="15.75" customHeight="1" s="121"/>
    <row r="558" ht="15.75" customHeight="1" s="121"/>
    <row r="559" ht="15.75" customHeight="1" s="121"/>
    <row r="560" ht="15.75" customHeight="1" s="121"/>
    <row r="561" ht="15.75" customHeight="1" s="121"/>
    <row r="562" ht="15.75" customHeight="1" s="121"/>
    <row r="563" ht="15.75" customHeight="1" s="121"/>
    <row r="564" ht="15.75" customHeight="1" s="121"/>
    <row r="565" ht="15.75" customHeight="1" s="121"/>
    <row r="566" ht="15.75" customHeight="1" s="121"/>
    <row r="567" ht="15.75" customHeight="1" s="121"/>
    <row r="568" ht="15.75" customHeight="1" s="121"/>
    <row r="569" ht="15.75" customHeight="1" s="121"/>
    <row r="570" ht="15.75" customHeight="1" s="121"/>
    <row r="571" ht="15.75" customHeight="1" s="121"/>
    <row r="572" ht="15.75" customHeight="1" s="121"/>
    <row r="573" ht="15.75" customHeight="1" s="121"/>
    <row r="574" ht="15.75" customHeight="1" s="121"/>
    <row r="575" ht="15.75" customHeight="1" s="121"/>
    <row r="576" ht="15.75" customHeight="1" s="121"/>
    <row r="577" ht="15.75" customHeight="1" s="121"/>
    <row r="578" ht="15.75" customHeight="1" s="121"/>
    <row r="579" ht="15.75" customHeight="1" s="121"/>
    <row r="580" ht="15.75" customHeight="1" s="121"/>
    <row r="581" ht="15.75" customHeight="1" s="121"/>
    <row r="582" ht="15.75" customHeight="1" s="121"/>
    <row r="583" ht="15.75" customHeight="1" s="121"/>
    <row r="584" ht="15.75" customHeight="1" s="121"/>
    <row r="585" ht="15.75" customHeight="1" s="121"/>
    <row r="586" ht="15.75" customHeight="1" s="121"/>
    <row r="587" ht="15.75" customHeight="1" s="121"/>
    <row r="588" ht="15.75" customHeight="1" s="121"/>
    <row r="589" ht="15.75" customHeight="1" s="121"/>
    <row r="590" ht="15.75" customHeight="1" s="121"/>
    <row r="591" ht="15.75" customHeight="1" s="121"/>
    <row r="592" ht="15.75" customHeight="1" s="121"/>
    <row r="593" ht="15.75" customHeight="1" s="121"/>
    <row r="594" ht="15.75" customHeight="1" s="121"/>
    <row r="595" ht="15.75" customHeight="1" s="121"/>
    <row r="596" ht="15.75" customHeight="1" s="121"/>
    <row r="597" ht="15.75" customHeight="1" s="121"/>
    <row r="598" ht="15.75" customHeight="1" s="121"/>
    <row r="599" ht="15.75" customHeight="1" s="121"/>
    <row r="600" ht="15.75" customHeight="1" s="121"/>
    <row r="601" ht="15.75" customHeight="1" s="121"/>
    <row r="602" ht="15.75" customHeight="1" s="121"/>
    <row r="603" ht="15.75" customHeight="1" s="121"/>
    <row r="604" ht="15.75" customHeight="1" s="121"/>
    <row r="605" ht="15.75" customHeight="1" s="121"/>
    <row r="606" ht="15.75" customHeight="1" s="121"/>
    <row r="607" ht="15.75" customHeight="1" s="121"/>
    <row r="608" ht="15.75" customHeight="1" s="121"/>
    <row r="609" ht="15.75" customHeight="1" s="121"/>
    <row r="610" ht="15.75" customHeight="1" s="121"/>
    <row r="611" ht="15.75" customHeight="1" s="121"/>
    <row r="612" ht="15.75" customHeight="1" s="121"/>
    <row r="613" ht="15.75" customHeight="1" s="121"/>
    <row r="614" ht="15.75" customHeight="1" s="121"/>
    <row r="615" ht="15.75" customHeight="1" s="121"/>
    <row r="616" ht="15.75" customHeight="1" s="121"/>
    <row r="617" ht="15.75" customHeight="1" s="121"/>
    <row r="618" ht="15.75" customHeight="1" s="121"/>
    <row r="619" ht="15.75" customHeight="1" s="121"/>
    <row r="620" ht="15.75" customHeight="1" s="121"/>
    <row r="621" ht="15.75" customHeight="1" s="121"/>
    <row r="622" ht="15.75" customHeight="1" s="121"/>
    <row r="623" ht="15.75" customHeight="1" s="121"/>
    <row r="624" ht="15.75" customHeight="1" s="121"/>
    <row r="625" ht="15.75" customHeight="1" s="121"/>
    <row r="626" ht="15.75" customHeight="1" s="121"/>
    <row r="627" ht="15.75" customHeight="1" s="121"/>
    <row r="628" ht="15.75" customHeight="1" s="121"/>
    <row r="629" ht="15.75" customHeight="1" s="121"/>
    <row r="630" ht="15.75" customHeight="1" s="121"/>
    <row r="631" ht="15.75" customHeight="1" s="121"/>
    <row r="632" ht="15.75" customHeight="1" s="121"/>
    <row r="633" ht="15.75" customHeight="1" s="121"/>
    <row r="634" ht="15.75" customHeight="1" s="121"/>
    <row r="635" ht="15.75" customHeight="1" s="121"/>
    <row r="636" ht="15.75" customHeight="1" s="121"/>
    <row r="637" ht="15.75" customHeight="1" s="121"/>
    <row r="638" ht="15.75" customHeight="1" s="121"/>
    <row r="639" ht="15.75" customHeight="1" s="121"/>
    <row r="640" ht="15.75" customHeight="1" s="121"/>
    <row r="641" ht="15.75" customHeight="1" s="121"/>
    <row r="642" ht="15.75" customHeight="1" s="121"/>
    <row r="643" ht="15.75" customHeight="1" s="121"/>
    <row r="644" ht="15.75" customHeight="1" s="121"/>
    <row r="645" ht="15.75" customHeight="1" s="121"/>
    <row r="646" ht="15.75" customHeight="1" s="121"/>
    <row r="647" ht="15.75" customHeight="1" s="121"/>
    <row r="648" ht="15.75" customHeight="1" s="121"/>
    <row r="649" ht="15.75" customHeight="1" s="121"/>
    <row r="650" ht="15.75" customHeight="1" s="121"/>
    <row r="651" ht="15.75" customHeight="1" s="121"/>
    <row r="652" ht="15.75" customHeight="1" s="121"/>
    <row r="653" ht="15.75" customHeight="1" s="121"/>
    <row r="654" ht="15.75" customHeight="1" s="121"/>
    <row r="655" ht="15.75" customHeight="1" s="121"/>
    <row r="656" ht="15.75" customHeight="1" s="121"/>
    <row r="657" ht="15.75" customHeight="1" s="121"/>
    <row r="658" ht="15.75" customHeight="1" s="121"/>
    <row r="659" ht="15.75" customHeight="1" s="121"/>
    <row r="660" ht="15.75" customHeight="1" s="121"/>
    <row r="661" ht="15.75" customHeight="1" s="121"/>
    <row r="662" ht="15.75" customHeight="1" s="121"/>
    <row r="663" ht="15.75" customHeight="1" s="121"/>
    <row r="664" ht="15.75" customHeight="1" s="121"/>
    <row r="665" ht="15.75" customHeight="1" s="121"/>
    <row r="666" ht="15.75" customHeight="1" s="121"/>
    <row r="667" ht="15.75" customHeight="1" s="121"/>
    <row r="668" ht="15.75" customHeight="1" s="121"/>
    <row r="669" ht="15.75" customHeight="1" s="121"/>
    <row r="670" ht="15.75" customHeight="1" s="121"/>
    <row r="671" ht="15.75" customHeight="1" s="121"/>
    <row r="672" ht="15.75" customHeight="1" s="121"/>
    <row r="673" ht="15.75" customHeight="1" s="121"/>
    <row r="674" ht="15.75" customHeight="1" s="121"/>
    <row r="675" ht="15.75" customHeight="1" s="121"/>
    <row r="676" ht="15.75" customHeight="1" s="121"/>
    <row r="677" ht="15.75" customHeight="1" s="121"/>
    <row r="678" ht="15.75" customHeight="1" s="121"/>
    <row r="679" ht="15.75" customHeight="1" s="121"/>
    <row r="680" ht="15.75" customHeight="1" s="121"/>
    <row r="681" ht="15.75" customHeight="1" s="121"/>
    <row r="682" ht="15.75" customHeight="1" s="121"/>
    <row r="683" ht="15.75" customHeight="1" s="121"/>
    <row r="684" ht="15.75" customHeight="1" s="121"/>
    <row r="685" ht="15.75" customHeight="1" s="121"/>
    <row r="686" ht="15.75" customHeight="1" s="121"/>
    <row r="687" ht="15.75" customHeight="1" s="121"/>
    <row r="688" ht="15.75" customHeight="1" s="121"/>
    <row r="689" ht="15.75" customHeight="1" s="121"/>
    <row r="690" ht="15.75" customHeight="1" s="121"/>
    <row r="691" ht="15.75" customHeight="1" s="121"/>
    <row r="692" ht="15.75" customHeight="1" s="121"/>
    <row r="693" ht="15.75" customHeight="1" s="121"/>
    <row r="694" ht="15.75" customHeight="1" s="121"/>
    <row r="695" ht="15.75" customHeight="1" s="121"/>
    <row r="696" ht="15.75" customHeight="1" s="121"/>
    <row r="697" ht="15.75" customHeight="1" s="121"/>
    <row r="698" ht="15.75" customHeight="1" s="121"/>
    <row r="699" ht="15.75" customHeight="1" s="121"/>
    <row r="700" ht="15.75" customHeight="1" s="121"/>
    <row r="701" ht="15.75" customHeight="1" s="121"/>
    <row r="702" ht="15.75" customHeight="1" s="121"/>
    <row r="703" ht="15.75" customHeight="1" s="121"/>
    <row r="704" ht="15.75" customHeight="1" s="121"/>
    <row r="705" ht="15.75" customHeight="1" s="121"/>
    <row r="706" ht="15.75" customHeight="1" s="121"/>
    <row r="707" ht="15.75" customHeight="1" s="121"/>
    <row r="708" ht="15.75" customHeight="1" s="121"/>
    <row r="709" ht="15.75" customHeight="1" s="121"/>
    <row r="710" ht="15.75" customHeight="1" s="121"/>
    <row r="711" ht="15.75" customHeight="1" s="121"/>
    <row r="712" ht="15.75" customHeight="1" s="121"/>
    <row r="713" ht="15.75" customHeight="1" s="121"/>
    <row r="714" ht="15.75" customHeight="1" s="121"/>
    <row r="715" ht="15.75" customHeight="1" s="121"/>
    <row r="716" ht="15.75" customHeight="1" s="121"/>
    <row r="717" ht="15.75" customHeight="1" s="121"/>
    <row r="718" ht="15.75" customHeight="1" s="121"/>
    <row r="719" ht="15.75" customHeight="1" s="121"/>
    <row r="720" ht="15.75" customHeight="1" s="121"/>
    <row r="721" ht="15.75" customHeight="1" s="121"/>
    <row r="722" ht="15.75" customHeight="1" s="121"/>
    <row r="723" ht="15.75" customHeight="1" s="121"/>
    <row r="724" ht="15.75" customHeight="1" s="121"/>
    <row r="725" ht="15.75" customHeight="1" s="121"/>
    <row r="726" ht="15.75" customHeight="1" s="121"/>
    <row r="727" ht="15.75" customHeight="1" s="121"/>
    <row r="728" ht="15.75" customHeight="1" s="121"/>
    <row r="729" ht="15.75" customHeight="1" s="121"/>
    <row r="730" ht="15.75" customHeight="1" s="121"/>
    <row r="731" ht="15.75" customHeight="1" s="121"/>
    <row r="732" ht="15.75" customHeight="1" s="121"/>
    <row r="733" ht="15.75" customHeight="1" s="121"/>
    <row r="734" ht="15.75" customHeight="1" s="121"/>
    <row r="735" ht="15.75" customHeight="1" s="121"/>
    <row r="736" ht="15.75" customHeight="1" s="121"/>
    <row r="737" ht="15.75" customHeight="1" s="121"/>
    <row r="738" ht="15.75" customHeight="1" s="121"/>
    <row r="739" ht="15.75" customHeight="1" s="121"/>
    <row r="740" ht="15.75" customHeight="1" s="121"/>
    <row r="741" ht="15.75" customHeight="1" s="121"/>
    <row r="742" ht="15.75" customHeight="1" s="121"/>
    <row r="743" ht="15.75" customHeight="1" s="121"/>
    <row r="744" ht="15.75" customHeight="1" s="121"/>
    <row r="745" ht="15.75" customHeight="1" s="121"/>
    <row r="746" ht="15.75" customHeight="1" s="121"/>
    <row r="747" ht="15.75" customHeight="1" s="121"/>
    <row r="748" ht="15.75" customHeight="1" s="121"/>
    <row r="749" ht="15.75" customHeight="1" s="121"/>
    <row r="750" ht="15.75" customHeight="1" s="121"/>
    <row r="751" ht="15.75" customHeight="1" s="121"/>
    <row r="752" ht="15.75" customHeight="1" s="121"/>
    <row r="753" ht="15.75" customHeight="1" s="121"/>
    <row r="754" ht="15.75" customHeight="1" s="121"/>
    <row r="755" ht="15.75" customHeight="1" s="121"/>
    <row r="756" ht="15.75" customHeight="1" s="121"/>
    <row r="757" ht="15.75" customHeight="1" s="121"/>
    <row r="758" ht="15.75" customHeight="1" s="121"/>
    <row r="759" ht="15.75" customHeight="1" s="121"/>
    <row r="760" ht="15.75" customHeight="1" s="121"/>
    <row r="761" ht="15.75" customHeight="1" s="121"/>
    <row r="762" ht="15.75" customHeight="1" s="121"/>
    <row r="763" ht="15.75" customHeight="1" s="121"/>
    <row r="764" ht="15.75" customHeight="1" s="121"/>
    <row r="765" ht="15.75" customHeight="1" s="121"/>
    <row r="766" ht="15.75" customHeight="1" s="121"/>
    <row r="767" ht="15.75" customHeight="1" s="121"/>
    <row r="768" ht="15.75" customHeight="1" s="121"/>
    <row r="769" ht="15.75" customHeight="1" s="121"/>
    <row r="770" ht="15.75" customHeight="1" s="121"/>
    <row r="771" ht="15.75" customHeight="1" s="121"/>
    <row r="772" ht="15.75" customHeight="1" s="121"/>
    <row r="773" ht="15.75" customHeight="1" s="121"/>
    <row r="774" ht="15.75" customHeight="1" s="121"/>
    <row r="775" ht="15.75" customHeight="1" s="121"/>
    <row r="776" ht="15.75" customHeight="1" s="121"/>
    <row r="777" ht="15.75" customHeight="1" s="121"/>
    <row r="778" ht="15.75" customHeight="1" s="121"/>
    <row r="779" ht="15.75" customHeight="1" s="121"/>
    <row r="780" ht="15.75" customHeight="1" s="121"/>
    <row r="781" ht="15.75" customHeight="1" s="121"/>
    <row r="782" ht="15.75" customHeight="1" s="121"/>
    <row r="783" ht="15.75" customHeight="1" s="121"/>
    <row r="784" ht="15.75" customHeight="1" s="121"/>
    <row r="785" ht="15.75" customHeight="1" s="121"/>
    <row r="786" ht="15.75" customHeight="1" s="121"/>
    <row r="787" ht="15.75" customHeight="1" s="121"/>
    <row r="788" ht="15.75" customHeight="1" s="121"/>
    <row r="789" ht="15.75" customHeight="1" s="121"/>
    <row r="790" ht="15.75" customHeight="1" s="121"/>
    <row r="791" ht="15.75" customHeight="1" s="121"/>
    <row r="792" ht="15.75" customHeight="1" s="121"/>
    <row r="793" ht="15.75" customHeight="1" s="121"/>
    <row r="794" ht="15.75" customHeight="1" s="121"/>
    <row r="795" ht="15.75" customHeight="1" s="121"/>
    <row r="796" ht="15.75" customHeight="1" s="121"/>
    <row r="797" ht="15.75" customHeight="1" s="121"/>
    <row r="798" ht="15.75" customHeight="1" s="121"/>
    <row r="799" ht="15.75" customHeight="1" s="121"/>
    <row r="800" ht="15.75" customHeight="1" s="121"/>
    <row r="801" ht="15.75" customHeight="1" s="121"/>
    <row r="802" ht="15.75" customHeight="1" s="121"/>
    <row r="803" ht="15.75" customHeight="1" s="121"/>
    <row r="804" ht="15.75" customHeight="1" s="121"/>
    <row r="805" ht="15.75" customHeight="1" s="121"/>
    <row r="806" ht="15.75" customHeight="1" s="121"/>
    <row r="807" ht="15.75" customHeight="1" s="121"/>
    <row r="808" ht="15.75" customHeight="1" s="121"/>
    <row r="809" ht="15.75" customHeight="1" s="121"/>
    <row r="810" ht="15.75" customHeight="1" s="121"/>
    <row r="811" ht="15.75" customHeight="1" s="121"/>
    <row r="812" ht="15.75" customHeight="1" s="121"/>
    <row r="813" ht="15.75" customHeight="1" s="121"/>
    <row r="814" ht="15.75" customHeight="1" s="121"/>
    <row r="815" ht="15.75" customHeight="1" s="121"/>
    <row r="816" ht="15.75" customHeight="1" s="121"/>
    <row r="817" ht="15.75" customHeight="1" s="121"/>
    <row r="818" ht="15.75" customHeight="1" s="121"/>
    <row r="819" ht="15.75" customHeight="1" s="121"/>
    <row r="820" ht="15.75" customHeight="1" s="121"/>
    <row r="821" ht="15.75" customHeight="1" s="121"/>
    <row r="822" ht="15.75" customHeight="1" s="121"/>
    <row r="823" ht="15.75" customHeight="1" s="121"/>
    <row r="824" ht="15.75" customHeight="1" s="121"/>
    <row r="825" ht="15.75" customHeight="1" s="121"/>
    <row r="826" ht="15.75" customHeight="1" s="121"/>
    <row r="827" ht="15.75" customHeight="1" s="121"/>
    <row r="828" ht="15.75" customHeight="1" s="121"/>
    <row r="829" ht="15.75" customHeight="1" s="121"/>
    <row r="830" ht="15.75" customHeight="1" s="121"/>
    <row r="831" ht="15.75" customHeight="1" s="121"/>
    <row r="832" ht="15.75" customHeight="1" s="121"/>
    <row r="833" ht="15.75" customHeight="1" s="121"/>
    <row r="834" ht="15.75" customHeight="1" s="121"/>
    <row r="835" ht="15.75" customHeight="1" s="121"/>
    <row r="836" ht="15.75" customHeight="1" s="121"/>
    <row r="837" ht="15.75" customHeight="1" s="121"/>
    <row r="838" ht="15.75" customHeight="1" s="121"/>
    <row r="839" ht="15.75" customHeight="1" s="121"/>
    <row r="840" ht="15.75" customHeight="1" s="121"/>
    <row r="841" ht="15.75" customHeight="1" s="121"/>
    <row r="842" ht="15.75" customHeight="1" s="121"/>
    <row r="843" ht="15.75" customHeight="1" s="121"/>
    <row r="844" ht="15.75" customHeight="1" s="121"/>
    <row r="845" ht="15.75" customHeight="1" s="121"/>
    <row r="846" ht="15.75" customHeight="1" s="121"/>
    <row r="847" ht="15.75" customHeight="1" s="121"/>
    <row r="848" ht="15.75" customHeight="1" s="121"/>
    <row r="849" ht="15.75" customHeight="1" s="121"/>
    <row r="850" ht="15.75" customHeight="1" s="121"/>
    <row r="851" ht="15.75" customHeight="1" s="121"/>
    <row r="852" ht="15.75" customHeight="1" s="121"/>
    <row r="853" ht="15.75" customHeight="1" s="121"/>
    <row r="854" ht="15.75" customHeight="1" s="121"/>
    <row r="855" ht="15.75" customHeight="1" s="121"/>
    <row r="856" ht="15.75" customHeight="1" s="121"/>
    <row r="857" ht="15.75" customHeight="1" s="121"/>
    <row r="858" ht="15.75" customHeight="1" s="121"/>
    <row r="859" ht="15.75" customHeight="1" s="121"/>
    <row r="860" ht="15.75" customHeight="1" s="121"/>
    <row r="861" ht="15.75" customHeight="1" s="121"/>
    <row r="862" ht="15.75" customHeight="1" s="121"/>
    <row r="863" ht="15.75" customHeight="1" s="121"/>
    <row r="864" ht="15.75" customHeight="1" s="121"/>
    <row r="865" ht="15.75" customHeight="1" s="121"/>
    <row r="866" ht="15.75" customHeight="1" s="121"/>
    <row r="867" ht="15.75" customHeight="1" s="121"/>
    <row r="868" ht="15.75" customHeight="1" s="121"/>
    <row r="869" ht="15.75" customHeight="1" s="121"/>
    <row r="870" ht="15.75" customHeight="1" s="121"/>
    <row r="871" ht="15.75" customHeight="1" s="121"/>
    <row r="872" ht="15.75" customHeight="1" s="121"/>
    <row r="873" ht="15.75" customHeight="1" s="121"/>
    <row r="874" ht="15.75" customHeight="1" s="121"/>
    <row r="875" ht="15.75" customHeight="1" s="121"/>
    <row r="876" ht="15.75" customHeight="1" s="121"/>
    <row r="877" ht="15.75" customHeight="1" s="121"/>
    <row r="878" ht="15.75" customHeight="1" s="121"/>
    <row r="879" ht="15.75" customHeight="1" s="121"/>
    <row r="880" ht="15.75" customHeight="1" s="121"/>
    <row r="881" ht="15.75" customHeight="1" s="121"/>
    <row r="882" ht="15.75" customHeight="1" s="121"/>
    <row r="883" ht="15.75" customHeight="1" s="121"/>
    <row r="884" ht="15.75" customHeight="1" s="121"/>
    <row r="885" ht="15.75" customHeight="1" s="121"/>
    <row r="886" ht="15.75" customHeight="1" s="121"/>
    <row r="887" ht="15.75" customHeight="1" s="121"/>
    <row r="888" ht="15.75" customHeight="1" s="121"/>
    <row r="889" ht="15.75" customHeight="1" s="121"/>
    <row r="890" ht="15.75" customHeight="1" s="121"/>
    <row r="891" ht="15.75" customHeight="1" s="121"/>
    <row r="892" ht="15.75" customHeight="1" s="121"/>
    <row r="893" ht="15.75" customHeight="1" s="121"/>
    <row r="894" ht="15.75" customHeight="1" s="121"/>
    <row r="895" ht="15.75" customHeight="1" s="121"/>
    <row r="896" ht="15.75" customHeight="1" s="121"/>
    <row r="897" ht="15.75" customHeight="1" s="121"/>
    <row r="898" ht="15.75" customHeight="1" s="121"/>
    <row r="899" ht="15.75" customHeight="1" s="121"/>
    <row r="900" ht="15.75" customHeight="1" s="121"/>
    <row r="901" ht="15.75" customHeight="1" s="121"/>
    <row r="902" ht="15.75" customHeight="1" s="121"/>
    <row r="903" ht="15.75" customHeight="1" s="121"/>
    <row r="904" ht="15.75" customHeight="1" s="121"/>
    <row r="905" ht="15.75" customHeight="1" s="121"/>
    <row r="906" ht="15.75" customHeight="1" s="121"/>
    <row r="907" ht="15.75" customHeight="1" s="121"/>
    <row r="908" ht="15.75" customHeight="1" s="121"/>
    <row r="909" ht="15.75" customHeight="1" s="121"/>
    <row r="910" ht="15.75" customHeight="1" s="121"/>
    <row r="911" ht="15.75" customHeight="1" s="121"/>
    <row r="912" ht="15.75" customHeight="1" s="121"/>
    <row r="913" ht="15.75" customHeight="1" s="121"/>
    <row r="914" ht="15.75" customHeight="1" s="121"/>
    <row r="915" ht="15.75" customHeight="1" s="121"/>
    <row r="916" ht="15.75" customHeight="1" s="121"/>
    <row r="917" ht="15.75" customHeight="1" s="121"/>
    <row r="918" ht="15.75" customHeight="1" s="121"/>
    <row r="919" ht="15.75" customHeight="1" s="121"/>
    <row r="920" ht="15.75" customHeight="1" s="121"/>
    <row r="921" ht="15.75" customHeight="1" s="121"/>
    <row r="922" ht="15.75" customHeight="1" s="121"/>
    <row r="923" ht="15.75" customHeight="1" s="121"/>
    <row r="924" ht="15.75" customHeight="1" s="121"/>
    <row r="925" ht="15.75" customHeight="1" s="121"/>
    <row r="926" ht="15.75" customHeight="1" s="121"/>
    <row r="927" ht="15.75" customHeight="1" s="121"/>
    <row r="928" ht="15.75" customHeight="1" s="121"/>
    <row r="929" ht="15.75" customHeight="1" s="121"/>
    <row r="930" ht="15.75" customHeight="1" s="121"/>
    <row r="931" ht="15.75" customHeight="1" s="121"/>
    <row r="932" ht="15.75" customHeight="1" s="121"/>
    <row r="933" ht="15.75" customHeight="1" s="121"/>
    <row r="934" ht="15.75" customHeight="1" s="121"/>
    <row r="935" ht="15.75" customHeight="1" s="121"/>
    <row r="936" ht="15.75" customHeight="1" s="121"/>
    <row r="937" ht="15.75" customHeight="1" s="121"/>
    <row r="938" ht="15.75" customHeight="1" s="121"/>
    <row r="939" ht="15.75" customHeight="1" s="121"/>
    <row r="940" ht="15.75" customHeight="1" s="121"/>
    <row r="941" ht="15.75" customHeight="1" s="121"/>
    <row r="942" ht="15.75" customHeight="1" s="121"/>
    <row r="943" ht="15.75" customHeight="1" s="121"/>
    <row r="944" ht="15.75" customHeight="1" s="121"/>
    <row r="945" ht="15.75" customHeight="1" s="121"/>
    <row r="946" ht="15.75" customHeight="1" s="121"/>
    <row r="947" ht="15.75" customHeight="1" s="121"/>
    <row r="948" ht="15.75" customHeight="1" s="121"/>
    <row r="949" ht="15.75" customHeight="1" s="121"/>
    <row r="950" ht="15.75" customHeight="1" s="121"/>
    <row r="951" ht="15.75" customHeight="1" s="121"/>
    <row r="952" ht="15.75" customHeight="1" s="121"/>
    <row r="953" ht="15.75" customHeight="1" s="121"/>
    <row r="954" ht="15.75" customHeight="1" s="121"/>
    <row r="955" ht="15.75" customHeight="1" s="121"/>
    <row r="956" ht="15.75" customHeight="1" s="121"/>
    <row r="957" ht="15.75" customHeight="1" s="121"/>
    <row r="958" ht="15.75" customHeight="1" s="121"/>
    <row r="959" ht="15.75" customHeight="1" s="121"/>
    <row r="960" ht="15.75" customHeight="1" s="121"/>
    <row r="961" ht="15.75" customHeight="1" s="121"/>
    <row r="962" ht="15.75" customHeight="1" s="121"/>
    <row r="963" ht="15.75" customHeight="1" s="121"/>
    <row r="964" ht="15.75" customHeight="1" s="121"/>
    <row r="965" ht="15.75" customHeight="1" s="121"/>
    <row r="966" ht="15.75" customHeight="1" s="121"/>
    <row r="967" ht="15.75" customHeight="1" s="121"/>
    <row r="968" ht="15.75" customHeight="1" s="121"/>
    <row r="969" ht="15.75" customHeight="1" s="121"/>
    <row r="970" ht="15.75" customHeight="1" s="121"/>
    <row r="971" ht="15.75" customHeight="1" s="121"/>
    <row r="972" ht="15.75" customHeight="1" s="121"/>
    <row r="973" ht="15.75" customHeight="1" s="121"/>
    <row r="974" ht="15.75" customHeight="1" s="121"/>
    <row r="975" ht="15.75" customHeight="1" s="121"/>
    <row r="976" ht="15.75" customHeight="1" s="121"/>
    <row r="977" ht="15.75" customHeight="1" s="121"/>
    <row r="978" ht="15.75" customHeight="1" s="121"/>
    <row r="979" ht="15.75" customHeight="1" s="121"/>
    <row r="980" ht="15.75" customHeight="1" s="121"/>
    <row r="981" ht="15.75" customHeight="1" s="121"/>
    <row r="982" ht="15.75" customHeight="1" s="121"/>
    <row r="983" ht="15.75" customHeight="1" s="121"/>
    <row r="984" ht="15.75" customHeight="1" s="121"/>
    <row r="985" ht="15.75" customHeight="1" s="121"/>
    <row r="986" ht="15.75" customHeight="1" s="121"/>
    <row r="987" ht="15.75" customHeight="1" s="121"/>
    <row r="988" ht="15.75" customHeight="1" s="121"/>
    <row r="989" ht="15.75" customHeight="1" s="121"/>
    <row r="990" ht="15.75" customHeight="1" s="121"/>
    <row r="991" ht="15.75" customHeight="1" s="121"/>
    <row r="992" ht="15.75" customHeight="1" s="121"/>
    <row r="993" ht="15.75" customHeight="1" s="121"/>
    <row r="994" ht="15.75" customHeight="1" s="121"/>
    <row r="995" ht="15.75" customHeight="1" s="121"/>
    <row r="996" ht="15.75" customHeight="1" s="121"/>
    <row r="997" ht="15.75" customHeight="1" s="121"/>
  </sheetData>
  <mergeCells count="2">
    <mergeCell ref="A1:J1"/>
    <mergeCell ref="A2:J2"/>
  </mergeCells>
  <conditionalFormatting sqref="J5:J21">
    <cfRule type="cellIs" priority="2" operator="equal" dxfId="14">
      <formula>"Draft"</formula>
    </cfRule>
    <cfRule type="cellIs" priority="3" operator="equal" dxfId="3">
      <formula>"Sent"</formula>
    </cfRule>
    <cfRule type="cellIs" priority="4" operator="equal" dxfId="12">
      <formula>"Received"</formula>
    </cfRule>
    <cfRule type="cellIs" priority="5" operator="equal" dxfId="2">
      <formula>"Verified"</formula>
    </cfRule>
    <cfRule type="cellIs" priority="6" operator="equal" dxfId="3">
      <formula>"Partial"</formula>
    </cfRule>
    <cfRule type="cellIs" priority="7" operator="equal" dxfId="5">
      <formula>"Rejected"</formula>
    </cfRule>
  </conditionalFormatting>
  <dataValidations count="1">
    <dataValidation sqref="J5:J21" showDropDown="0" showInputMessage="0" showErrorMessage="0" allowBlank="1" type="list">
      <formula1>"Draft,Sent,Received,Verified,Partial,Rejected"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zoomScaleNormal="100" workbookViewId="0">
      <pane ySplit="3" topLeftCell="A4" activePane="bottomLeft" state="frozen"/>
      <selection pane="bottomLeft" activeCell="K14" sqref="K14"/>
    </sheetView>
  </sheetViews>
  <sheetFormatPr baseColWidth="8" defaultColWidth="14.42578125" defaultRowHeight="15"/>
  <cols>
    <col width="7" customWidth="1" style="121" min="1" max="1"/>
    <col width="18.140625" customWidth="1" style="121" min="2" max="2"/>
    <col width="22" customWidth="1" style="121" min="3" max="3"/>
    <col width="20" customWidth="1" style="121" min="4" max="4"/>
    <col width="70.140625" customWidth="1" style="121" min="5" max="5"/>
    <col width="10" customWidth="1" style="121" min="6" max="6"/>
    <col width="14" customWidth="1" style="121" min="7" max="8"/>
    <col width="18" customWidth="1" style="121" min="9" max="9"/>
    <col width="21.7109375" customWidth="1" style="121" min="10" max="10"/>
    <col width="8.7109375" customWidth="1" style="121" min="11" max="26"/>
  </cols>
  <sheetData>
    <row r="1" ht="27.75" customHeight="1" s="121">
      <c r="A1" s="125" t="inlineStr">
        <is>
          <t>ISSUES LOG — Blockers, dependencies, follow-up</t>
        </is>
      </c>
      <c r="J1" s="41" t="n"/>
    </row>
    <row r="3" ht="31.5" customHeight="1" s="121">
      <c r="A3" s="5" t="inlineStr">
        <is>
          <t>Issue ID</t>
        </is>
      </c>
      <c r="B3" s="5" t="inlineStr">
        <is>
          <t>Detected Date / Date Identified</t>
        </is>
      </c>
      <c r="C3" s="5" t="inlineStr">
        <is>
          <t>Screen ID liên quan</t>
        </is>
      </c>
      <c r="D3" s="5" t="inlineStr">
        <is>
          <t>Type</t>
        </is>
      </c>
      <c r="E3" s="5" t="inlineStr">
        <is>
          <t xml:space="preserve"> Issue Description</t>
        </is>
      </c>
      <c r="F3" s="5" t="inlineStr">
        <is>
          <t>Impact</t>
        </is>
      </c>
      <c r="G3" s="5" t="inlineStr">
        <is>
          <t>Reported by</t>
        </is>
      </c>
      <c r="H3" s="5" t="inlineStr">
        <is>
          <t>Owner</t>
        </is>
      </c>
      <c r="I3" s="5" t="inlineStr">
        <is>
          <t>Status</t>
        </is>
      </c>
      <c r="J3" s="43" t="inlineStr">
        <is>
          <t>Comment</t>
        </is>
      </c>
    </row>
    <row r="4" ht="42" customHeight="1" s="121">
      <c r="A4" s="39" t="n"/>
      <c r="B4" s="39" t="n"/>
      <c r="C4" s="39" t="n"/>
      <c r="D4" s="29" t="n"/>
      <c r="E4" s="29" t="n"/>
      <c r="F4" s="39" t="n"/>
      <c r="G4" s="39" t="n"/>
      <c r="H4" s="39" t="n"/>
      <c r="I4" s="39" t="n"/>
      <c r="J4" s="44" t="n"/>
    </row>
    <row r="5" ht="42" customHeight="1" s="121">
      <c r="A5" s="39" t="n"/>
      <c r="B5" s="39" t="n"/>
      <c r="C5" s="39" t="n"/>
      <c r="D5" s="29" t="n"/>
      <c r="E5" s="29" t="n"/>
      <c r="F5" s="39" t="n"/>
      <c r="G5" s="39" t="n"/>
      <c r="H5" s="39" t="n"/>
      <c r="I5" s="39" t="n"/>
      <c r="J5" s="44" t="n"/>
    </row>
    <row r="6" ht="42" customHeight="1" s="121">
      <c r="A6" s="39" t="n"/>
      <c r="B6" s="39" t="n"/>
      <c r="C6" s="39" t="n"/>
      <c r="D6" s="29" t="n"/>
      <c r="E6" s="29" t="n"/>
      <c r="F6" s="39" t="n"/>
      <c r="G6" s="39" t="n"/>
      <c r="H6" s="39" t="n"/>
      <c r="I6" s="39" t="n"/>
      <c r="J6" s="44" t="n"/>
    </row>
    <row r="7" ht="42" customHeight="1" s="121">
      <c r="A7" s="39" t="n"/>
      <c r="B7" s="39" t="n"/>
      <c r="C7" s="39" t="n"/>
      <c r="D7" s="29" t="n"/>
      <c r="E7" s="29" t="n"/>
      <c r="F7" s="39" t="n"/>
      <c r="G7" s="39" t="n"/>
      <c r="H7" s="39" t="n"/>
      <c r="I7" s="39" t="n"/>
      <c r="J7" s="44" t="n"/>
    </row>
    <row r="8" ht="42" customHeight="1" s="121">
      <c r="A8" s="39" t="n"/>
      <c r="B8" s="39" t="n"/>
      <c r="C8" s="39" t="n"/>
      <c r="D8" s="29" t="n"/>
      <c r="E8" s="29" t="n"/>
      <c r="F8" s="39" t="n"/>
      <c r="G8" s="39" t="n"/>
      <c r="H8" s="39" t="n"/>
      <c r="I8" s="39" t="n"/>
      <c r="J8" s="44" t="n"/>
    </row>
    <row r="9" ht="42" customHeight="1" s="121">
      <c r="A9" s="39" t="n"/>
      <c r="B9" s="39" t="n"/>
      <c r="C9" s="39" t="n"/>
      <c r="D9" s="29" t="n"/>
      <c r="E9" s="29" t="n"/>
      <c r="F9" s="39" t="n"/>
      <c r="G9" s="39" t="n"/>
      <c r="H9" s="39" t="n"/>
      <c r="I9" s="39" t="n"/>
      <c r="J9" s="44" t="n"/>
    </row>
    <row r="10" ht="42" customHeight="1" s="121">
      <c r="A10" s="39" t="n"/>
      <c r="B10" s="39" t="n"/>
      <c r="C10" s="39" t="n"/>
      <c r="D10" s="29" t="n"/>
      <c r="E10" s="29" t="n"/>
      <c r="F10" s="39" t="n"/>
      <c r="G10" s="39" t="n"/>
      <c r="H10" s="39" t="n"/>
      <c r="I10" s="39" t="n"/>
      <c r="J10" s="44" t="n"/>
    </row>
    <row r="11" ht="42" customHeight="1" s="121">
      <c r="A11" s="39" t="n"/>
      <c r="B11" s="39" t="n"/>
      <c r="C11" s="39" t="n"/>
      <c r="D11" s="29" t="n"/>
      <c r="E11" s="29" t="n"/>
      <c r="F11" s="39" t="n"/>
      <c r="G11" s="39" t="n"/>
      <c r="H11" s="39" t="n"/>
      <c r="I11" s="39" t="n"/>
      <c r="J11" s="44" t="n"/>
    </row>
    <row r="12" ht="42" customHeight="1" s="121">
      <c r="A12" s="39" t="n"/>
      <c r="B12" s="39" t="n"/>
      <c r="C12" s="39" t="n"/>
      <c r="D12" s="29" t="n"/>
      <c r="E12" s="29" t="n"/>
      <c r="F12" s="39" t="n"/>
      <c r="G12" s="39" t="n"/>
      <c r="H12" s="39" t="n"/>
      <c r="I12" s="39" t="n"/>
      <c r="J12" s="44" t="n"/>
    </row>
    <row r="13" ht="42" customHeight="1" s="121">
      <c r="A13" s="39" t="n"/>
      <c r="B13" s="39" t="n"/>
      <c r="C13" s="39" t="n"/>
      <c r="D13" s="29" t="n"/>
      <c r="E13" s="29" t="n"/>
      <c r="F13" s="39" t="n"/>
      <c r="G13" s="39" t="n"/>
      <c r="H13" s="39" t="n"/>
      <c r="I13" s="39" t="n"/>
      <c r="J13" s="44" t="n"/>
    </row>
    <row r="14" ht="42" customHeight="1" s="121">
      <c r="A14" s="39" t="n"/>
      <c r="B14" s="39" t="n"/>
      <c r="C14" s="39" t="n"/>
      <c r="D14" s="29" t="n"/>
      <c r="E14" s="29" t="n"/>
      <c r="F14" s="39" t="n"/>
      <c r="G14" s="39" t="n"/>
      <c r="H14" s="39" t="n"/>
      <c r="I14" s="39" t="n"/>
      <c r="J14" s="44" t="n"/>
    </row>
    <row r="15" ht="42" customHeight="1" s="121">
      <c r="A15" s="39" t="n"/>
      <c r="B15" s="39" t="n"/>
      <c r="C15" s="39" t="n"/>
      <c r="D15" s="29" t="n"/>
      <c r="E15" s="29" t="n"/>
      <c r="F15" s="39" t="n"/>
      <c r="G15" s="39" t="n"/>
      <c r="H15" s="39" t="n"/>
      <c r="I15" s="39" t="n"/>
      <c r="J15" s="44" t="n"/>
    </row>
    <row r="16" ht="42" customHeight="1" s="121">
      <c r="A16" s="39" t="n"/>
      <c r="B16" s="39" t="n"/>
      <c r="C16" s="39" t="n"/>
      <c r="D16" s="29" t="n"/>
      <c r="E16" s="29" t="n"/>
      <c r="F16" s="39" t="n"/>
      <c r="G16" s="39" t="n"/>
      <c r="H16" s="39" t="n"/>
      <c r="I16" s="39" t="n"/>
      <c r="J16" s="44" t="n"/>
    </row>
    <row r="17" ht="42" customHeight="1" s="121">
      <c r="A17" s="39" t="n"/>
      <c r="B17" s="39" t="n"/>
      <c r="C17" s="39" t="n"/>
      <c r="D17" s="29" t="n"/>
      <c r="E17" s="29" t="n"/>
      <c r="F17" s="39" t="n"/>
      <c r="G17" s="39" t="n"/>
      <c r="H17" s="39" t="n"/>
      <c r="I17" s="39" t="n"/>
      <c r="J17" s="44" t="n"/>
    </row>
    <row r="18" ht="42" customHeight="1" s="121">
      <c r="A18" s="39" t="n"/>
      <c r="B18" s="39" t="n"/>
      <c r="C18" s="39" t="n"/>
      <c r="D18" s="29" t="n"/>
      <c r="E18" s="29" t="n"/>
      <c r="F18" s="39" t="n"/>
      <c r="G18" s="39" t="n"/>
      <c r="H18" s="39" t="n"/>
      <c r="I18" s="39" t="n"/>
      <c r="J18" s="44" t="n"/>
    </row>
    <row r="19" ht="42" customHeight="1" s="121">
      <c r="A19" s="39" t="n"/>
      <c r="B19" s="39" t="n"/>
      <c r="C19" s="39" t="n"/>
      <c r="D19" s="29" t="n"/>
      <c r="E19" s="29" t="n"/>
      <c r="F19" s="39" t="n"/>
      <c r="G19" s="39" t="n"/>
      <c r="H19" s="39" t="n"/>
      <c r="I19" s="39" t="n"/>
      <c r="J19" s="44" t="n"/>
    </row>
    <row r="20" ht="42" customHeight="1" s="121">
      <c r="A20" s="39" t="n"/>
      <c r="B20" s="39" t="n"/>
      <c r="C20" s="39" t="n"/>
      <c r="D20" s="29" t="n"/>
      <c r="E20" s="29" t="n"/>
      <c r="F20" s="39" t="n"/>
      <c r="G20" s="39" t="n"/>
      <c r="H20" s="39" t="n"/>
      <c r="I20" s="39" t="n"/>
      <c r="J20" s="44" t="n"/>
    </row>
    <row r="21" ht="42" customHeight="1" s="121">
      <c r="A21" s="39" t="n"/>
      <c r="B21" s="39" t="n"/>
      <c r="C21" s="39" t="n"/>
      <c r="D21" s="29" t="n"/>
      <c r="E21" s="29" t="n"/>
      <c r="F21" s="39" t="n"/>
      <c r="G21" s="39" t="n"/>
      <c r="H21" s="39" t="n"/>
      <c r="I21" s="39" t="n"/>
      <c r="J21" s="44" t="n"/>
    </row>
    <row r="22" ht="42" customHeight="1" s="121">
      <c r="A22" s="39" t="n"/>
      <c r="B22" s="39" t="n"/>
      <c r="C22" s="39" t="n"/>
      <c r="D22" s="29" t="n"/>
      <c r="E22" s="29" t="n"/>
      <c r="F22" s="39" t="n"/>
      <c r="G22" s="39" t="n"/>
      <c r="H22" s="39" t="n"/>
      <c r="I22" s="39" t="n"/>
      <c r="J22" s="44" t="n"/>
    </row>
    <row r="23" ht="42" customHeight="1" s="121">
      <c r="A23" s="39" t="n"/>
      <c r="B23" s="39" t="n"/>
      <c r="C23" s="39" t="n"/>
      <c r="D23" s="29" t="n"/>
      <c r="E23" s="29" t="n"/>
      <c r="F23" s="39" t="n"/>
      <c r="G23" s="39" t="n"/>
      <c r="H23" s="39" t="n"/>
      <c r="I23" s="39" t="n"/>
      <c r="J23" s="44" t="n"/>
    </row>
    <row r="24" ht="42" customHeight="1" s="121">
      <c r="A24" s="39" t="n"/>
      <c r="B24" s="39" t="n"/>
      <c r="C24" s="39" t="n"/>
      <c r="D24" s="29" t="n"/>
      <c r="E24" s="29" t="n"/>
      <c r="F24" s="39" t="n"/>
      <c r="G24" s="39" t="n"/>
      <c r="H24" s="39" t="n"/>
      <c r="I24" s="39" t="n"/>
      <c r="J24" s="44" t="n"/>
    </row>
    <row r="25" ht="42" customHeight="1" s="121">
      <c r="A25" s="39" t="n"/>
      <c r="B25" s="39" t="n"/>
      <c r="C25" s="39" t="n"/>
      <c r="D25" s="29" t="n"/>
      <c r="E25" s="29" t="n"/>
      <c r="F25" s="39" t="n"/>
      <c r="G25" s="39" t="n"/>
      <c r="H25" s="39" t="n"/>
      <c r="I25" s="39" t="n"/>
      <c r="J25" s="44" t="n"/>
    </row>
    <row r="26" ht="42" customHeight="1" s="121">
      <c r="A26" s="39" t="n"/>
      <c r="B26" s="39" t="n"/>
      <c r="C26" s="39" t="n"/>
      <c r="D26" s="29" t="n"/>
      <c r="E26" s="29" t="n"/>
      <c r="F26" s="39" t="n"/>
      <c r="G26" s="39" t="n"/>
      <c r="H26" s="39" t="n"/>
      <c r="I26" s="39" t="n"/>
      <c r="J26" s="44" t="n"/>
    </row>
    <row r="27" ht="15.75" customHeight="1" s="121"/>
    <row r="28" ht="15.75" customHeight="1" s="121"/>
    <row r="29" ht="15.75" customHeight="1" s="121"/>
    <row r="30" ht="15.75" customHeight="1" s="121"/>
    <row r="31" ht="15.75" customHeight="1" s="121"/>
    <row r="32" ht="15.75" customHeight="1" s="121"/>
    <row r="33" ht="15.75" customHeight="1" s="121"/>
    <row r="34" ht="15.75" customHeight="1" s="121"/>
    <row r="35" ht="15.75" customHeight="1" s="121"/>
    <row r="36" ht="15.75" customHeight="1" s="121"/>
    <row r="37" ht="15.75" customHeight="1" s="121"/>
    <row r="38" ht="15.75" customHeight="1" s="121"/>
    <row r="39" ht="15.75" customHeight="1" s="121"/>
    <row r="40" ht="15.75" customHeight="1" s="121"/>
    <row r="41" ht="15.75" customHeight="1" s="121"/>
    <row r="42" ht="15.75" customHeight="1" s="121"/>
    <row r="43" ht="15.75" customHeight="1" s="121"/>
    <row r="44" ht="15.75" customHeight="1" s="121"/>
    <row r="45" ht="15.75" customHeight="1" s="121"/>
    <row r="46" ht="15.75" customHeight="1" s="121"/>
    <row r="47" ht="15.75" customHeight="1" s="121"/>
    <row r="48" ht="15.75" customHeight="1" s="121"/>
    <row r="49" ht="15.75" customHeight="1" s="121"/>
    <row r="50" ht="15.75" customHeight="1" s="121"/>
    <row r="51" ht="15.75" customHeight="1" s="121"/>
    <row r="52" ht="15.75" customHeight="1" s="121"/>
    <row r="53" ht="15.75" customHeight="1" s="121"/>
    <row r="54" ht="15.75" customHeight="1" s="121"/>
    <row r="55" ht="15.75" customHeight="1" s="121"/>
    <row r="56" ht="15.75" customHeight="1" s="121"/>
    <row r="57" ht="15.75" customHeight="1" s="121"/>
    <row r="58" ht="15.75" customHeight="1" s="121"/>
    <row r="59" ht="15.75" customHeight="1" s="121"/>
    <row r="60" ht="15.75" customHeight="1" s="121"/>
    <row r="61" ht="15.75" customHeight="1" s="121"/>
    <row r="62" ht="15.75" customHeight="1" s="121"/>
    <row r="63" ht="15.75" customHeight="1" s="121"/>
    <row r="64" ht="15.75" customHeight="1" s="121"/>
    <row r="65" ht="15.75" customHeight="1" s="121"/>
    <row r="66" ht="15.75" customHeight="1" s="121"/>
    <row r="67" ht="15.75" customHeight="1" s="121"/>
    <row r="68" ht="15.75" customHeight="1" s="121"/>
    <row r="69" ht="15.75" customHeight="1" s="121"/>
    <row r="70" ht="15.75" customHeight="1" s="121"/>
    <row r="71" ht="15.75" customHeight="1" s="121"/>
    <row r="72" ht="15.75" customHeight="1" s="121"/>
    <row r="73" ht="15.75" customHeight="1" s="121"/>
    <row r="74" ht="15.75" customHeight="1" s="121"/>
    <row r="75" ht="15.75" customHeight="1" s="121"/>
    <row r="76" ht="15.75" customHeight="1" s="121"/>
    <row r="77" ht="15.75" customHeight="1" s="121"/>
    <row r="78" ht="15.75" customHeight="1" s="121"/>
    <row r="79" ht="15.75" customHeight="1" s="121"/>
    <row r="80" ht="15.75" customHeight="1" s="121"/>
    <row r="81" ht="15.75" customHeight="1" s="121"/>
    <row r="82" ht="15.75" customHeight="1" s="121"/>
    <row r="83" ht="15.75" customHeight="1" s="121"/>
    <row r="84" ht="15.75" customHeight="1" s="121"/>
    <row r="85" ht="15.75" customHeight="1" s="121"/>
    <row r="86" ht="15.75" customHeight="1" s="121"/>
    <row r="87" ht="15.75" customHeight="1" s="121"/>
    <row r="88" ht="15.75" customHeight="1" s="121"/>
    <row r="89" ht="15.75" customHeight="1" s="121"/>
    <row r="90" ht="15.75" customHeight="1" s="121"/>
    <row r="91" ht="15.75" customHeight="1" s="121"/>
    <row r="92" ht="15.75" customHeight="1" s="121"/>
    <row r="93" ht="15.75" customHeight="1" s="121"/>
    <row r="94" ht="15.75" customHeight="1" s="121"/>
    <row r="95" ht="15.75" customHeight="1" s="121"/>
    <row r="96" ht="15.75" customHeight="1" s="121"/>
    <row r="97" ht="15.75" customHeight="1" s="121"/>
    <row r="98" ht="15.75" customHeight="1" s="121"/>
    <row r="99" ht="15.75" customHeight="1" s="121"/>
    <row r="100" ht="15.75" customHeight="1" s="121"/>
    <row r="101" ht="15.75" customHeight="1" s="121"/>
    <row r="102" ht="15.75" customHeight="1" s="121"/>
    <row r="103" ht="15.75" customHeight="1" s="121"/>
    <row r="104" ht="15.75" customHeight="1" s="121"/>
    <row r="105" ht="15.75" customHeight="1" s="121"/>
    <row r="106" ht="15.75" customHeight="1" s="121"/>
    <row r="107" ht="15.75" customHeight="1" s="121"/>
    <row r="108" ht="15.75" customHeight="1" s="121"/>
    <row r="109" ht="15.75" customHeight="1" s="121"/>
    <row r="110" ht="15.75" customHeight="1" s="121"/>
    <row r="111" ht="15.75" customHeight="1" s="121"/>
    <row r="112" ht="15.75" customHeight="1" s="121"/>
    <row r="113" ht="15.75" customHeight="1" s="121"/>
    <row r="114" ht="15.75" customHeight="1" s="121"/>
    <row r="115" ht="15.75" customHeight="1" s="121"/>
    <row r="116" ht="15.75" customHeight="1" s="121"/>
    <row r="117" ht="15.75" customHeight="1" s="121"/>
    <row r="118" ht="15.75" customHeight="1" s="121"/>
    <row r="119" ht="15.75" customHeight="1" s="121"/>
    <row r="120" ht="15.75" customHeight="1" s="121"/>
    <row r="121" ht="15.75" customHeight="1" s="121"/>
    <row r="122" ht="15.75" customHeight="1" s="121"/>
    <row r="123" ht="15.75" customHeight="1" s="121"/>
    <row r="124" ht="15.75" customHeight="1" s="121"/>
    <row r="125" ht="15.75" customHeight="1" s="121"/>
    <row r="126" ht="15.75" customHeight="1" s="121"/>
    <row r="127" ht="15.75" customHeight="1" s="121"/>
    <row r="128" ht="15.75" customHeight="1" s="121"/>
    <row r="129" ht="15.75" customHeight="1" s="121"/>
    <row r="130" ht="15.75" customHeight="1" s="121"/>
    <row r="131" ht="15.75" customHeight="1" s="121"/>
    <row r="132" ht="15.75" customHeight="1" s="121"/>
    <row r="133" ht="15.75" customHeight="1" s="121"/>
    <row r="134" ht="15.75" customHeight="1" s="121"/>
    <row r="135" ht="15.75" customHeight="1" s="121"/>
    <row r="136" ht="15.75" customHeight="1" s="121"/>
    <row r="137" ht="15.75" customHeight="1" s="121"/>
    <row r="138" ht="15.75" customHeight="1" s="121"/>
    <row r="139" ht="15.75" customHeight="1" s="121"/>
    <row r="140" ht="15.75" customHeight="1" s="121"/>
    <row r="141" ht="15.75" customHeight="1" s="121"/>
    <row r="142" ht="15.75" customHeight="1" s="121"/>
    <row r="143" ht="15.75" customHeight="1" s="121"/>
    <row r="144" ht="15.75" customHeight="1" s="121"/>
    <row r="145" ht="15.75" customHeight="1" s="121"/>
    <row r="146" ht="15.75" customHeight="1" s="121"/>
    <row r="147" ht="15.75" customHeight="1" s="121"/>
    <row r="148" ht="15.75" customHeight="1" s="121"/>
    <row r="149" ht="15.75" customHeight="1" s="121"/>
    <row r="150" ht="15.75" customHeight="1" s="121"/>
    <row r="151" ht="15.75" customHeight="1" s="121"/>
    <row r="152" ht="15.75" customHeight="1" s="121"/>
    <row r="153" ht="15.75" customHeight="1" s="121"/>
    <row r="154" ht="15.75" customHeight="1" s="121"/>
    <row r="155" ht="15.75" customHeight="1" s="121"/>
    <row r="156" ht="15.75" customHeight="1" s="121"/>
    <row r="157" ht="15.75" customHeight="1" s="121"/>
    <row r="158" ht="15.75" customHeight="1" s="121"/>
    <row r="159" ht="15.75" customHeight="1" s="121"/>
    <row r="160" ht="15.75" customHeight="1" s="121"/>
    <row r="161" ht="15.75" customHeight="1" s="121"/>
    <row r="162" ht="15.75" customHeight="1" s="121"/>
    <row r="163" ht="15.75" customHeight="1" s="121"/>
    <row r="164" ht="15.75" customHeight="1" s="121"/>
    <row r="165" ht="15.75" customHeight="1" s="121"/>
    <row r="166" ht="15.75" customHeight="1" s="121"/>
    <row r="167" ht="15.75" customHeight="1" s="121"/>
    <row r="168" ht="15.75" customHeight="1" s="121"/>
    <row r="169" ht="15.75" customHeight="1" s="121"/>
    <row r="170" ht="15.75" customHeight="1" s="121"/>
    <row r="171" ht="15.75" customHeight="1" s="121"/>
    <row r="172" ht="15.75" customHeight="1" s="121"/>
    <row r="173" ht="15.75" customHeight="1" s="121"/>
    <row r="174" ht="15.75" customHeight="1" s="121"/>
    <row r="175" ht="15.75" customHeight="1" s="121"/>
    <row r="176" ht="15.75" customHeight="1" s="121"/>
    <row r="177" ht="15.75" customHeight="1" s="121"/>
    <row r="178" ht="15.75" customHeight="1" s="121"/>
    <row r="179" ht="15.75" customHeight="1" s="121"/>
    <row r="180" ht="15.75" customHeight="1" s="121"/>
    <row r="181" ht="15.75" customHeight="1" s="121"/>
    <row r="182" ht="15.75" customHeight="1" s="121"/>
    <row r="183" ht="15.75" customHeight="1" s="121"/>
    <row r="184" ht="15.75" customHeight="1" s="121"/>
    <row r="185" ht="15.75" customHeight="1" s="121"/>
    <row r="186" ht="15.75" customHeight="1" s="121"/>
    <row r="187" ht="15.75" customHeight="1" s="121"/>
    <row r="188" ht="15.75" customHeight="1" s="121"/>
    <row r="189" ht="15.75" customHeight="1" s="121"/>
    <row r="190" ht="15.75" customHeight="1" s="121"/>
    <row r="191" ht="15.75" customHeight="1" s="121"/>
    <row r="192" ht="15.75" customHeight="1" s="121"/>
    <row r="193" ht="15.75" customHeight="1" s="121"/>
    <row r="194" ht="15.75" customHeight="1" s="121"/>
    <row r="195" ht="15.75" customHeight="1" s="121"/>
    <row r="196" ht="15.75" customHeight="1" s="121"/>
    <row r="197" ht="15.75" customHeight="1" s="121"/>
    <row r="198" ht="15.75" customHeight="1" s="121"/>
    <row r="199" ht="15.75" customHeight="1" s="121"/>
    <row r="200" ht="15.75" customHeight="1" s="121"/>
    <row r="201" ht="15.75" customHeight="1" s="121"/>
    <row r="202" ht="15.75" customHeight="1" s="121"/>
    <row r="203" ht="15.75" customHeight="1" s="121"/>
    <row r="204" ht="15.75" customHeight="1" s="121"/>
    <row r="205" ht="15.75" customHeight="1" s="121"/>
    <row r="206" ht="15.75" customHeight="1" s="121"/>
    <row r="207" ht="15.75" customHeight="1" s="121"/>
    <row r="208" ht="15.75" customHeight="1" s="121"/>
    <row r="209" ht="15.75" customHeight="1" s="121"/>
    <row r="210" ht="15.75" customHeight="1" s="121"/>
    <row r="211" ht="15.75" customHeight="1" s="121"/>
    <row r="212" ht="15.75" customHeight="1" s="121"/>
    <row r="213" ht="15.75" customHeight="1" s="121"/>
    <row r="214" ht="15.75" customHeight="1" s="121"/>
    <row r="215" ht="15.75" customHeight="1" s="121"/>
    <row r="216" ht="15.75" customHeight="1" s="121"/>
    <row r="217" ht="15.75" customHeight="1" s="121"/>
    <row r="218" ht="15.75" customHeight="1" s="121"/>
    <row r="219" ht="15.75" customHeight="1" s="121"/>
    <row r="220" ht="15.75" customHeight="1" s="121"/>
    <row r="221" ht="15.75" customHeight="1" s="121"/>
    <row r="222" ht="15.75" customHeight="1" s="121"/>
    <row r="223" ht="15.75" customHeight="1" s="121"/>
    <row r="224" ht="15.75" customHeight="1" s="121"/>
    <row r="225" ht="15.75" customHeight="1" s="121"/>
    <row r="226" ht="15.75" customHeight="1" s="121"/>
    <row r="227" ht="15.75" customHeight="1" s="121"/>
    <row r="228" ht="15.75" customHeight="1" s="121"/>
    <row r="229" ht="15.75" customHeight="1" s="121"/>
    <row r="230" ht="15.75" customHeight="1" s="121"/>
    <row r="231" ht="15.75" customHeight="1" s="121"/>
    <row r="232" ht="15.75" customHeight="1" s="121"/>
    <row r="233" ht="15.75" customHeight="1" s="121"/>
    <row r="234" ht="15.75" customHeight="1" s="121"/>
    <row r="235" ht="15.75" customHeight="1" s="121"/>
    <row r="236" ht="15.75" customHeight="1" s="121"/>
    <row r="237" ht="15.75" customHeight="1" s="121"/>
    <row r="238" ht="15.75" customHeight="1" s="121"/>
    <row r="239" ht="15.75" customHeight="1" s="121"/>
    <row r="240" ht="15.75" customHeight="1" s="121"/>
    <row r="241" ht="15.75" customHeight="1" s="121"/>
    <row r="242" ht="15.75" customHeight="1" s="121"/>
    <row r="243" ht="15.75" customHeight="1" s="121"/>
    <row r="244" ht="15.75" customHeight="1" s="121"/>
    <row r="245" ht="15.75" customHeight="1" s="121"/>
    <row r="246" ht="15.75" customHeight="1" s="121"/>
    <row r="247" ht="15.75" customHeight="1" s="121"/>
    <row r="248" ht="15.75" customHeight="1" s="121"/>
    <row r="249" ht="15.75" customHeight="1" s="121"/>
    <row r="250" ht="15.75" customHeight="1" s="121"/>
    <row r="251" ht="15.75" customHeight="1" s="121"/>
    <row r="252" ht="15.75" customHeight="1" s="121"/>
    <row r="253" ht="15.75" customHeight="1" s="121"/>
    <row r="254" ht="15.75" customHeight="1" s="121"/>
    <row r="255" ht="15.75" customHeight="1" s="121"/>
    <row r="256" ht="15.75" customHeight="1" s="121"/>
    <row r="257" ht="15.75" customHeight="1" s="121"/>
    <row r="258" ht="15.75" customHeight="1" s="121"/>
    <row r="259" ht="15.75" customHeight="1" s="121"/>
    <row r="260" ht="15.75" customHeight="1" s="121"/>
    <row r="261" ht="15.75" customHeight="1" s="121"/>
    <row r="262" ht="15.75" customHeight="1" s="121"/>
    <row r="263" ht="15.75" customHeight="1" s="121"/>
    <row r="264" ht="15.75" customHeight="1" s="121"/>
    <row r="265" ht="15.75" customHeight="1" s="121"/>
    <row r="266" ht="15.75" customHeight="1" s="121"/>
    <row r="267" ht="15.75" customHeight="1" s="121"/>
    <row r="268" ht="15.75" customHeight="1" s="121"/>
    <row r="269" ht="15.75" customHeight="1" s="121"/>
    <row r="270" ht="15.75" customHeight="1" s="121"/>
    <row r="271" ht="15.75" customHeight="1" s="121"/>
    <row r="272" ht="15.75" customHeight="1" s="121"/>
    <row r="273" ht="15.75" customHeight="1" s="121"/>
    <row r="274" ht="15.75" customHeight="1" s="121"/>
    <row r="275" ht="15.75" customHeight="1" s="121"/>
    <row r="276" ht="15.75" customHeight="1" s="121"/>
    <row r="277" ht="15.75" customHeight="1" s="121"/>
    <row r="278" ht="15.75" customHeight="1" s="121"/>
    <row r="279" ht="15.75" customHeight="1" s="121"/>
    <row r="280" ht="15.75" customHeight="1" s="121"/>
    <row r="281" ht="15.75" customHeight="1" s="121"/>
    <row r="282" ht="15.75" customHeight="1" s="121"/>
    <row r="283" ht="15.75" customHeight="1" s="121"/>
    <row r="284" ht="15.75" customHeight="1" s="121"/>
    <row r="285" ht="15.75" customHeight="1" s="121"/>
    <row r="286" ht="15.75" customHeight="1" s="121"/>
    <row r="287" ht="15.75" customHeight="1" s="121"/>
    <row r="288" ht="15.75" customHeight="1" s="121"/>
    <row r="289" ht="15.75" customHeight="1" s="121"/>
    <row r="290" ht="15.75" customHeight="1" s="121"/>
    <row r="291" ht="15.75" customHeight="1" s="121"/>
    <row r="292" ht="15.75" customHeight="1" s="121"/>
    <row r="293" ht="15.75" customHeight="1" s="121"/>
    <row r="294" ht="15.75" customHeight="1" s="121"/>
    <row r="295" ht="15.75" customHeight="1" s="121"/>
    <row r="296" ht="15.75" customHeight="1" s="121"/>
    <row r="297" ht="15.75" customHeight="1" s="121"/>
    <row r="298" ht="15.75" customHeight="1" s="121"/>
    <row r="299" ht="15.75" customHeight="1" s="121"/>
    <row r="300" ht="15.75" customHeight="1" s="121"/>
    <row r="301" ht="15.75" customHeight="1" s="121"/>
    <row r="302" ht="15.75" customHeight="1" s="121"/>
    <row r="303" ht="15.75" customHeight="1" s="121"/>
    <row r="304" ht="15.75" customHeight="1" s="121"/>
    <row r="305" ht="15.75" customHeight="1" s="121"/>
    <row r="306" ht="15.75" customHeight="1" s="121"/>
    <row r="307" ht="15.75" customHeight="1" s="121"/>
    <row r="308" ht="15.75" customHeight="1" s="121"/>
    <row r="309" ht="15.75" customHeight="1" s="121"/>
    <row r="310" ht="15.75" customHeight="1" s="121"/>
    <row r="311" ht="15.75" customHeight="1" s="121"/>
    <row r="312" ht="15.75" customHeight="1" s="121"/>
    <row r="313" ht="15.75" customHeight="1" s="121"/>
    <row r="314" ht="15.75" customHeight="1" s="121"/>
    <row r="315" ht="15.75" customHeight="1" s="121"/>
    <row r="316" ht="15.75" customHeight="1" s="121"/>
    <row r="317" ht="15.75" customHeight="1" s="121"/>
    <row r="318" ht="15.75" customHeight="1" s="121"/>
    <row r="319" ht="15.75" customHeight="1" s="121"/>
    <row r="320" ht="15.75" customHeight="1" s="121"/>
    <row r="321" ht="15.75" customHeight="1" s="121"/>
    <row r="322" ht="15.75" customHeight="1" s="121"/>
    <row r="323" ht="15.75" customHeight="1" s="121"/>
    <row r="324" ht="15.75" customHeight="1" s="121"/>
    <row r="325" ht="15.75" customHeight="1" s="121"/>
    <row r="326" ht="15.75" customHeight="1" s="121"/>
    <row r="327" ht="15.75" customHeight="1" s="121"/>
    <row r="328" ht="15.75" customHeight="1" s="121"/>
    <row r="329" ht="15.75" customHeight="1" s="121"/>
    <row r="330" ht="15.75" customHeight="1" s="121"/>
    <row r="331" ht="15.75" customHeight="1" s="121"/>
    <row r="332" ht="15.75" customHeight="1" s="121"/>
    <row r="333" ht="15.75" customHeight="1" s="121"/>
    <row r="334" ht="15.75" customHeight="1" s="121"/>
    <row r="335" ht="15.75" customHeight="1" s="121"/>
    <row r="336" ht="15.75" customHeight="1" s="121"/>
    <row r="337" ht="15.75" customHeight="1" s="121"/>
    <row r="338" ht="15.75" customHeight="1" s="121"/>
    <row r="339" ht="15.75" customHeight="1" s="121"/>
    <row r="340" ht="15.75" customHeight="1" s="121"/>
    <row r="341" ht="15.75" customHeight="1" s="121"/>
    <row r="342" ht="15.75" customHeight="1" s="121"/>
    <row r="343" ht="15.75" customHeight="1" s="121"/>
    <row r="344" ht="15.75" customHeight="1" s="121"/>
    <row r="345" ht="15.75" customHeight="1" s="121"/>
    <row r="346" ht="15.75" customHeight="1" s="121"/>
    <row r="347" ht="15.75" customHeight="1" s="121"/>
    <row r="348" ht="15.75" customHeight="1" s="121"/>
    <row r="349" ht="15.75" customHeight="1" s="121"/>
    <row r="350" ht="15.75" customHeight="1" s="121"/>
    <row r="351" ht="15.75" customHeight="1" s="121"/>
    <row r="352" ht="15.75" customHeight="1" s="121"/>
    <row r="353" ht="15.75" customHeight="1" s="121"/>
    <row r="354" ht="15.75" customHeight="1" s="121"/>
    <row r="355" ht="15.75" customHeight="1" s="121"/>
    <row r="356" ht="15.75" customHeight="1" s="121"/>
    <row r="357" ht="15.75" customHeight="1" s="121"/>
    <row r="358" ht="15.75" customHeight="1" s="121"/>
    <row r="359" ht="15.75" customHeight="1" s="121"/>
    <row r="360" ht="15.75" customHeight="1" s="121"/>
    <row r="361" ht="15.75" customHeight="1" s="121"/>
    <row r="362" ht="15.75" customHeight="1" s="121"/>
    <row r="363" ht="15.75" customHeight="1" s="121"/>
    <row r="364" ht="15.75" customHeight="1" s="121"/>
    <row r="365" ht="15.75" customHeight="1" s="121"/>
    <row r="366" ht="15.75" customHeight="1" s="121"/>
    <row r="367" ht="15.75" customHeight="1" s="121"/>
    <row r="368" ht="15.75" customHeight="1" s="121"/>
    <row r="369" ht="15.75" customHeight="1" s="121"/>
    <row r="370" ht="15.75" customHeight="1" s="121"/>
    <row r="371" ht="15.75" customHeight="1" s="121"/>
    <row r="372" ht="15.75" customHeight="1" s="121"/>
    <row r="373" ht="15.75" customHeight="1" s="121"/>
    <row r="374" ht="15.75" customHeight="1" s="121"/>
    <row r="375" ht="15.75" customHeight="1" s="121"/>
    <row r="376" ht="15.75" customHeight="1" s="121"/>
    <row r="377" ht="15.75" customHeight="1" s="121"/>
    <row r="378" ht="15.75" customHeight="1" s="121"/>
    <row r="379" ht="15.75" customHeight="1" s="121"/>
    <row r="380" ht="15.75" customHeight="1" s="121"/>
    <row r="381" ht="15.75" customHeight="1" s="121"/>
    <row r="382" ht="15.75" customHeight="1" s="121"/>
    <row r="383" ht="15.75" customHeight="1" s="121"/>
    <row r="384" ht="15.75" customHeight="1" s="121"/>
    <row r="385" ht="15.75" customHeight="1" s="121"/>
    <row r="386" ht="15.75" customHeight="1" s="121"/>
    <row r="387" ht="15.75" customHeight="1" s="121"/>
    <row r="388" ht="15.75" customHeight="1" s="121"/>
    <row r="389" ht="15.75" customHeight="1" s="121"/>
    <row r="390" ht="15.75" customHeight="1" s="121"/>
    <row r="391" ht="15.75" customHeight="1" s="121"/>
    <row r="392" ht="15.75" customHeight="1" s="121"/>
    <row r="393" ht="15.75" customHeight="1" s="121"/>
    <row r="394" ht="15.75" customHeight="1" s="121"/>
    <row r="395" ht="15.75" customHeight="1" s="121"/>
    <row r="396" ht="15.75" customHeight="1" s="121"/>
    <row r="397" ht="15.75" customHeight="1" s="121"/>
    <row r="398" ht="15.75" customHeight="1" s="121"/>
    <row r="399" ht="15.75" customHeight="1" s="121"/>
    <row r="400" ht="15.75" customHeight="1" s="121"/>
    <row r="401" ht="15.75" customHeight="1" s="121"/>
    <row r="402" ht="15.75" customHeight="1" s="121"/>
    <row r="403" ht="15.75" customHeight="1" s="121"/>
    <row r="404" ht="15.75" customHeight="1" s="121"/>
    <row r="405" ht="15.75" customHeight="1" s="121"/>
    <row r="406" ht="15.75" customHeight="1" s="121"/>
    <row r="407" ht="15.75" customHeight="1" s="121"/>
    <row r="408" ht="15.75" customHeight="1" s="121"/>
    <row r="409" ht="15.75" customHeight="1" s="121"/>
    <row r="410" ht="15.75" customHeight="1" s="121"/>
    <row r="411" ht="15.75" customHeight="1" s="121"/>
    <row r="412" ht="15.75" customHeight="1" s="121"/>
    <row r="413" ht="15.75" customHeight="1" s="121"/>
    <row r="414" ht="15.75" customHeight="1" s="121"/>
    <row r="415" ht="15.75" customHeight="1" s="121"/>
    <row r="416" ht="15.75" customHeight="1" s="121"/>
    <row r="417" ht="15.75" customHeight="1" s="121"/>
    <row r="418" ht="15.75" customHeight="1" s="121"/>
    <row r="419" ht="15.75" customHeight="1" s="121"/>
    <row r="420" ht="15.75" customHeight="1" s="121"/>
    <row r="421" ht="15.75" customHeight="1" s="121"/>
    <row r="422" ht="15.75" customHeight="1" s="121"/>
    <row r="423" ht="15.75" customHeight="1" s="121"/>
    <row r="424" ht="15.75" customHeight="1" s="121"/>
    <row r="425" ht="15.75" customHeight="1" s="121"/>
    <row r="426" ht="15.75" customHeight="1" s="121"/>
    <row r="427" ht="15.75" customHeight="1" s="121"/>
    <row r="428" ht="15.75" customHeight="1" s="121"/>
    <row r="429" ht="15.75" customHeight="1" s="121"/>
    <row r="430" ht="15.75" customHeight="1" s="121"/>
    <row r="431" ht="15.75" customHeight="1" s="121"/>
    <row r="432" ht="15.75" customHeight="1" s="121"/>
    <row r="433" ht="15.75" customHeight="1" s="121"/>
    <row r="434" ht="15.75" customHeight="1" s="121"/>
    <row r="435" ht="15.75" customHeight="1" s="121"/>
    <row r="436" ht="15.75" customHeight="1" s="121"/>
    <row r="437" ht="15.75" customHeight="1" s="121"/>
    <row r="438" ht="15.75" customHeight="1" s="121"/>
    <row r="439" ht="15.75" customHeight="1" s="121"/>
    <row r="440" ht="15.75" customHeight="1" s="121"/>
    <row r="441" ht="15.75" customHeight="1" s="121"/>
    <row r="442" ht="15.75" customHeight="1" s="121"/>
    <row r="443" ht="15.75" customHeight="1" s="121"/>
    <row r="444" ht="15.75" customHeight="1" s="121"/>
    <row r="445" ht="15.75" customHeight="1" s="121"/>
    <row r="446" ht="15.75" customHeight="1" s="121"/>
    <row r="447" ht="15.75" customHeight="1" s="121"/>
    <row r="448" ht="15.75" customHeight="1" s="121"/>
    <row r="449" ht="15.75" customHeight="1" s="121"/>
    <row r="450" ht="15.75" customHeight="1" s="121"/>
    <row r="451" ht="15.75" customHeight="1" s="121"/>
    <row r="452" ht="15.75" customHeight="1" s="121"/>
    <row r="453" ht="15.75" customHeight="1" s="121"/>
    <row r="454" ht="15.75" customHeight="1" s="121"/>
    <row r="455" ht="15.75" customHeight="1" s="121"/>
    <row r="456" ht="15.75" customHeight="1" s="121"/>
    <row r="457" ht="15.75" customHeight="1" s="121"/>
    <row r="458" ht="15.75" customHeight="1" s="121"/>
    <row r="459" ht="15.75" customHeight="1" s="121"/>
    <row r="460" ht="15.75" customHeight="1" s="121"/>
    <row r="461" ht="15.75" customHeight="1" s="121"/>
    <row r="462" ht="15.75" customHeight="1" s="121"/>
    <row r="463" ht="15.75" customHeight="1" s="121"/>
    <row r="464" ht="15.75" customHeight="1" s="121"/>
    <row r="465" ht="15.75" customHeight="1" s="121"/>
    <row r="466" ht="15.75" customHeight="1" s="121"/>
    <row r="467" ht="15.75" customHeight="1" s="121"/>
    <row r="468" ht="15.75" customHeight="1" s="121"/>
    <row r="469" ht="15.75" customHeight="1" s="121"/>
    <row r="470" ht="15.75" customHeight="1" s="121"/>
    <row r="471" ht="15.75" customHeight="1" s="121"/>
    <row r="472" ht="15.75" customHeight="1" s="121"/>
    <row r="473" ht="15.75" customHeight="1" s="121"/>
    <row r="474" ht="15.75" customHeight="1" s="121"/>
    <row r="475" ht="15.75" customHeight="1" s="121"/>
    <row r="476" ht="15.75" customHeight="1" s="121"/>
    <row r="477" ht="15.75" customHeight="1" s="121"/>
    <row r="478" ht="15.75" customHeight="1" s="121"/>
    <row r="479" ht="15.75" customHeight="1" s="121"/>
    <row r="480" ht="15.75" customHeight="1" s="121"/>
    <row r="481" ht="15.75" customHeight="1" s="121"/>
    <row r="482" ht="15.75" customHeight="1" s="121"/>
    <row r="483" ht="15.75" customHeight="1" s="121"/>
    <row r="484" ht="15.75" customHeight="1" s="121"/>
    <row r="485" ht="15.75" customHeight="1" s="121"/>
    <row r="486" ht="15.75" customHeight="1" s="121"/>
    <row r="487" ht="15.75" customHeight="1" s="121"/>
    <row r="488" ht="15.75" customHeight="1" s="121"/>
    <row r="489" ht="15.75" customHeight="1" s="121"/>
    <row r="490" ht="15.75" customHeight="1" s="121"/>
    <row r="491" ht="15.75" customHeight="1" s="121"/>
    <row r="492" ht="15.75" customHeight="1" s="121"/>
    <row r="493" ht="15.75" customHeight="1" s="121"/>
    <row r="494" ht="15.75" customHeight="1" s="121"/>
    <row r="495" ht="15.75" customHeight="1" s="121"/>
    <row r="496" ht="15.75" customHeight="1" s="121"/>
    <row r="497" ht="15.75" customHeight="1" s="121"/>
    <row r="498" ht="15.75" customHeight="1" s="121"/>
    <row r="499" ht="15.75" customHeight="1" s="121"/>
    <row r="500" ht="15.75" customHeight="1" s="121"/>
    <row r="501" ht="15.75" customHeight="1" s="121"/>
    <row r="502" ht="15.75" customHeight="1" s="121"/>
    <row r="503" ht="15.75" customHeight="1" s="121"/>
    <row r="504" ht="15.75" customHeight="1" s="121"/>
    <row r="505" ht="15.75" customHeight="1" s="121"/>
    <row r="506" ht="15.75" customHeight="1" s="121"/>
    <row r="507" ht="15.75" customHeight="1" s="121"/>
    <row r="508" ht="15.75" customHeight="1" s="121"/>
    <row r="509" ht="15.75" customHeight="1" s="121"/>
    <row r="510" ht="15.75" customHeight="1" s="121"/>
    <row r="511" ht="15.75" customHeight="1" s="121"/>
    <row r="512" ht="15.75" customHeight="1" s="121"/>
    <row r="513" ht="15.75" customHeight="1" s="121"/>
    <row r="514" ht="15.75" customHeight="1" s="121"/>
    <row r="515" ht="15.75" customHeight="1" s="121"/>
    <row r="516" ht="15.75" customHeight="1" s="121"/>
    <row r="517" ht="15.75" customHeight="1" s="121"/>
    <row r="518" ht="15.75" customHeight="1" s="121"/>
    <row r="519" ht="15.75" customHeight="1" s="121"/>
    <row r="520" ht="15.75" customHeight="1" s="121"/>
    <row r="521" ht="15.75" customHeight="1" s="121"/>
    <row r="522" ht="15.75" customHeight="1" s="121"/>
    <row r="523" ht="15.75" customHeight="1" s="121"/>
    <row r="524" ht="15.75" customHeight="1" s="121"/>
    <row r="525" ht="15.75" customHeight="1" s="121"/>
    <row r="526" ht="15.75" customHeight="1" s="121"/>
    <row r="527" ht="15.75" customHeight="1" s="121"/>
    <row r="528" ht="15.75" customHeight="1" s="121"/>
    <row r="529" ht="15.75" customHeight="1" s="121"/>
    <row r="530" ht="15.75" customHeight="1" s="121"/>
    <row r="531" ht="15.75" customHeight="1" s="121"/>
    <row r="532" ht="15.75" customHeight="1" s="121"/>
    <row r="533" ht="15.75" customHeight="1" s="121"/>
    <row r="534" ht="15.75" customHeight="1" s="121"/>
    <row r="535" ht="15.75" customHeight="1" s="121"/>
    <row r="536" ht="15.75" customHeight="1" s="121"/>
    <row r="537" ht="15.75" customHeight="1" s="121"/>
    <row r="538" ht="15.75" customHeight="1" s="121"/>
    <row r="539" ht="15.75" customHeight="1" s="121"/>
    <row r="540" ht="15.75" customHeight="1" s="121"/>
    <row r="541" ht="15.75" customHeight="1" s="121"/>
    <row r="542" ht="15.75" customHeight="1" s="121"/>
    <row r="543" ht="15.75" customHeight="1" s="121"/>
    <row r="544" ht="15.75" customHeight="1" s="121"/>
    <row r="545" ht="15.75" customHeight="1" s="121"/>
    <row r="546" ht="15.75" customHeight="1" s="121"/>
    <row r="547" ht="15.75" customHeight="1" s="121"/>
    <row r="548" ht="15.75" customHeight="1" s="121"/>
    <row r="549" ht="15.75" customHeight="1" s="121"/>
    <row r="550" ht="15.75" customHeight="1" s="121"/>
    <row r="551" ht="15.75" customHeight="1" s="121"/>
    <row r="552" ht="15.75" customHeight="1" s="121"/>
    <row r="553" ht="15.75" customHeight="1" s="121"/>
    <row r="554" ht="15.75" customHeight="1" s="121"/>
    <row r="555" ht="15.75" customHeight="1" s="121"/>
    <row r="556" ht="15.75" customHeight="1" s="121"/>
    <row r="557" ht="15.75" customHeight="1" s="121"/>
    <row r="558" ht="15.75" customHeight="1" s="121"/>
    <row r="559" ht="15.75" customHeight="1" s="121"/>
    <row r="560" ht="15.75" customHeight="1" s="121"/>
    <row r="561" ht="15.75" customHeight="1" s="121"/>
    <row r="562" ht="15.75" customHeight="1" s="121"/>
    <row r="563" ht="15.75" customHeight="1" s="121"/>
    <row r="564" ht="15.75" customHeight="1" s="121"/>
    <row r="565" ht="15.75" customHeight="1" s="121"/>
    <row r="566" ht="15.75" customHeight="1" s="121"/>
    <row r="567" ht="15.75" customHeight="1" s="121"/>
    <row r="568" ht="15.75" customHeight="1" s="121"/>
    <row r="569" ht="15.75" customHeight="1" s="121"/>
    <row r="570" ht="15.75" customHeight="1" s="121"/>
    <row r="571" ht="15.75" customHeight="1" s="121"/>
    <row r="572" ht="15.75" customHeight="1" s="121"/>
    <row r="573" ht="15.75" customHeight="1" s="121"/>
    <row r="574" ht="15.75" customHeight="1" s="121"/>
    <row r="575" ht="15.75" customHeight="1" s="121"/>
    <row r="576" ht="15.75" customHeight="1" s="121"/>
    <row r="577" ht="15.75" customHeight="1" s="121"/>
    <row r="578" ht="15.75" customHeight="1" s="121"/>
    <row r="579" ht="15.75" customHeight="1" s="121"/>
    <row r="580" ht="15.75" customHeight="1" s="121"/>
    <row r="581" ht="15.75" customHeight="1" s="121"/>
    <row r="582" ht="15.75" customHeight="1" s="121"/>
    <row r="583" ht="15.75" customHeight="1" s="121"/>
    <row r="584" ht="15.75" customHeight="1" s="121"/>
    <row r="585" ht="15.75" customHeight="1" s="121"/>
    <row r="586" ht="15.75" customHeight="1" s="121"/>
    <row r="587" ht="15.75" customHeight="1" s="121"/>
    <row r="588" ht="15.75" customHeight="1" s="121"/>
    <row r="589" ht="15.75" customHeight="1" s="121"/>
    <row r="590" ht="15.75" customHeight="1" s="121"/>
    <row r="591" ht="15.75" customHeight="1" s="121"/>
    <row r="592" ht="15.75" customHeight="1" s="121"/>
    <row r="593" ht="15.75" customHeight="1" s="121"/>
    <row r="594" ht="15.75" customHeight="1" s="121"/>
    <row r="595" ht="15.75" customHeight="1" s="121"/>
    <row r="596" ht="15.75" customHeight="1" s="121"/>
    <row r="597" ht="15.75" customHeight="1" s="121"/>
    <row r="598" ht="15.75" customHeight="1" s="121"/>
    <row r="599" ht="15.75" customHeight="1" s="121"/>
    <row r="600" ht="15.75" customHeight="1" s="121"/>
    <row r="601" ht="15.75" customHeight="1" s="121"/>
    <row r="602" ht="15.75" customHeight="1" s="121"/>
    <row r="603" ht="15.75" customHeight="1" s="121"/>
    <row r="604" ht="15.75" customHeight="1" s="121"/>
    <row r="605" ht="15.75" customHeight="1" s="121"/>
    <row r="606" ht="15.75" customHeight="1" s="121"/>
    <row r="607" ht="15.75" customHeight="1" s="121"/>
    <row r="608" ht="15.75" customHeight="1" s="121"/>
    <row r="609" ht="15.75" customHeight="1" s="121"/>
    <row r="610" ht="15.75" customHeight="1" s="121"/>
    <row r="611" ht="15.75" customHeight="1" s="121"/>
    <row r="612" ht="15.75" customHeight="1" s="121"/>
    <row r="613" ht="15.75" customHeight="1" s="121"/>
    <row r="614" ht="15.75" customHeight="1" s="121"/>
    <row r="615" ht="15.75" customHeight="1" s="121"/>
    <row r="616" ht="15.75" customHeight="1" s="121"/>
    <row r="617" ht="15.75" customHeight="1" s="121"/>
    <row r="618" ht="15.75" customHeight="1" s="121"/>
    <row r="619" ht="15.75" customHeight="1" s="121"/>
    <row r="620" ht="15.75" customHeight="1" s="121"/>
    <row r="621" ht="15.75" customHeight="1" s="121"/>
    <row r="622" ht="15.75" customHeight="1" s="121"/>
    <row r="623" ht="15.75" customHeight="1" s="121"/>
    <row r="624" ht="15.75" customHeight="1" s="121"/>
    <row r="625" ht="15.75" customHeight="1" s="121"/>
    <row r="626" ht="15.75" customHeight="1" s="121"/>
    <row r="627" ht="15.75" customHeight="1" s="121"/>
    <row r="628" ht="15.75" customHeight="1" s="121"/>
    <row r="629" ht="15.75" customHeight="1" s="121"/>
    <row r="630" ht="15.75" customHeight="1" s="121"/>
    <row r="631" ht="15.75" customHeight="1" s="121"/>
    <row r="632" ht="15.75" customHeight="1" s="121"/>
    <row r="633" ht="15.75" customHeight="1" s="121"/>
    <row r="634" ht="15.75" customHeight="1" s="121"/>
    <row r="635" ht="15.75" customHeight="1" s="121"/>
    <row r="636" ht="15.75" customHeight="1" s="121"/>
    <row r="637" ht="15.75" customHeight="1" s="121"/>
    <row r="638" ht="15.75" customHeight="1" s="121"/>
    <row r="639" ht="15.75" customHeight="1" s="121"/>
    <row r="640" ht="15.75" customHeight="1" s="121"/>
    <row r="641" ht="15.75" customHeight="1" s="121"/>
    <row r="642" ht="15.75" customHeight="1" s="121"/>
    <row r="643" ht="15.75" customHeight="1" s="121"/>
    <row r="644" ht="15.75" customHeight="1" s="121"/>
    <row r="645" ht="15.75" customHeight="1" s="121"/>
    <row r="646" ht="15.75" customHeight="1" s="121"/>
    <row r="647" ht="15.75" customHeight="1" s="121"/>
    <row r="648" ht="15.75" customHeight="1" s="121"/>
    <row r="649" ht="15.75" customHeight="1" s="121"/>
    <row r="650" ht="15.75" customHeight="1" s="121"/>
    <row r="651" ht="15.75" customHeight="1" s="121"/>
    <row r="652" ht="15.75" customHeight="1" s="121"/>
    <row r="653" ht="15.75" customHeight="1" s="121"/>
    <row r="654" ht="15.75" customHeight="1" s="121"/>
    <row r="655" ht="15.75" customHeight="1" s="121"/>
    <row r="656" ht="15.75" customHeight="1" s="121"/>
    <row r="657" ht="15.75" customHeight="1" s="121"/>
    <row r="658" ht="15.75" customHeight="1" s="121"/>
    <row r="659" ht="15.75" customHeight="1" s="121"/>
    <row r="660" ht="15.75" customHeight="1" s="121"/>
    <row r="661" ht="15.75" customHeight="1" s="121"/>
    <row r="662" ht="15.75" customHeight="1" s="121"/>
    <row r="663" ht="15.75" customHeight="1" s="121"/>
    <row r="664" ht="15.75" customHeight="1" s="121"/>
    <row r="665" ht="15.75" customHeight="1" s="121"/>
    <row r="666" ht="15.75" customHeight="1" s="121"/>
    <row r="667" ht="15.75" customHeight="1" s="121"/>
    <row r="668" ht="15.75" customHeight="1" s="121"/>
    <row r="669" ht="15.75" customHeight="1" s="121"/>
    <row r="670" ht="15.75" customHeight="1" s="121"/>
    <row r="671" ht="15.75" customHeight="1" s="121"/>
    <row r="672" ht="15.75" customHeight="1" s="121"/>
    <row r="673" ht="15.75" customHeight="1" s="121"/>
    <row r="674" ht="15.75" customHeight="1" s="121"/>
    <row r="675" ht="15.75" customHeight="1" s="121"/>
    <row r="676" ht="15.75" customHeight="1" s="121"/>
    <row r="677" ht="15.75" customHeight="1" s="121"/>
    <row r="678" ht="15.75" customHeight="1" s="121"/>
    <row r="679" ht="15.75" customHeight="1" s="121"/>
    <row r="680" ht="15.75" customHeight="1" s="121"/>
    <row r="681" ht="15.75" customHeight="1" s="121"/>
    <row r="682" ht="15.75" customHeight="1" s="121"/>
    <row r="683" ht="15.75" customHeight="1" s="121"/>
    <row r="684" ht="15.75" customHeight="1" s="121"/>
    <row r="685" ht="15.75" customHeight="1" s="121"/>
    <row r="686" ht="15.75" customHeight="1" s="121"/>
    <row r="687" ht="15.75" customHeight="1" s="121"/>
    <row r="688" ht="15.75" customHeight="1" s="121"/>
    <row r="689" ht="15.75" customHeight="1" s="121"/>
    <row r="690" ht="15.75" customHeight="1" s="121"/>
    <row r="691" ht="15.75" customHeight="1" s="121"/>
    <row r="692" ht="15.75" customHeight="1" s="121"/>
    <row r="693" ht="15.75" customHeight="1" s="121"/>
    <row r="694" ht="15.75" customHeight="1" s="121"/>
    <row r="695" ht="15.75" customHeight="1" s="121"/>
    <row r="696" ht="15.75" customHeight="1" s="121"/>
    <row r="697" ht="15.75" customHeight="1" s="121"/>
    <row r="698" ht="15.75" customHeight="1" s="121"/>
    <row r="699" ht="15.75" customHeight="1" s="121"/>
    <row r="700" ht="15.75" customHeight="1" s="121"/>
    <row r="701" ht="15.75" customHeight="1" s="121"/>
    <row r="702" ht="15.75" customHeight="1" s="121"/>
    <row r="703" ht="15.75" customHeight="1" s="121"/>
    <row r="704" ht="15.75" customHeight="1" s="121"/>
    <row r="705" ht="15.75" customHeight="1" s="121"/>
    <row r="706" ht="15.75" customHeight="1" s="121"/>
    <row r="707" ht="15.75" customHeight="1" s="121"/>
    <row r="708" ht="15.75" customHeight="1" s="121"/>
    <row r="709" ht="15.75" customHeight="1" s="121"/>
    <row r="710" ht="15.75" customHeight="1" s="121"/>
    <row r="711" ht="15.75" customHeight="1" s="121"/>
    <row r="712" ht="15.75" customHeight="1" s="121"/>
    <row r="713" ht="15.75" customHeight="1" s="121"/>
    <row r="714" ht="15.75" customHeight="1" s="121"/>
    <row r="715" ht="15.75" customHeight="1" s="121"/>
    <row r="716" ht="15.75" customHeight="1" s="121"/>
    <row r="717" ht="15.75" customHeight="1" s="121"/>
    <row r="718" ht="15.75" customHeight="1" s="121"/>
    <row r="719" ht="15.75" customHeight="1" s="121"/>
    <row r="720" ht="15.75" customHeight="1" s="121"/>
    <row r="721" ht="15.75" customHeight="1" s="121"/>
    <row r="722" ht="15.75" customHeight="1" s="121"/>
    <row r="723" ht="15.75" customHeight="1" s="121"/>
    <row r="724" ht="15.75" customHeight="1" s="121"/>
    <row r="725" ht="15.75" customHeight="1" s="121"/>
    <row r="726" ht="15.75" customHeight="1" s="121"/>
    <row r="727" ht="15.75" customHeight="1" s="121"/>
    <row r="728" ht="15.75" customHeight="1" s="121"/>
    <row r="729" ht="15.75" customHeight="1" s="121"/>
    <row r="730" ht="15.75" customHeight="1" s="121"/>
    <row r="731" ht="15.75" customHeight="1" s="121"/>
    <row r="732" ht="15.75" customHeight="1" s="121"/>
    <row r="733" ht="15.75" customHeight="1" s="121"/>
    <row r="734" ht="15.75" customHeight="1" s="121"/>
    <row r="735" ht="15.75" customHeight="1" s="121"/>
    <row r="736" ht="15.75" customHeight="1" s="121"/>
    <row r="737" ht="15.75" customHeight="1" s="121"/>
    <row r="738" ht="15.75" customHeight="1" s="121"/>
    <row r="739" ht="15.75" customHeight="1" s="121"/>
    <row r="740" ht="15.75" customHeight="1" s="121"/>
    <row r="741" ht="15.75" customHeight="1" s="121"/>
    <row r="742" ht="15.75" customHeight="1" s="121"/>
    <row r="743" ht="15.75" customHeight="1" s="121"/>
    <row r="744" ht="15.75" customHeight="1" s="121"/>
    <row r="745" ht="15.75" customHeight="1" s="121"/>
    <row r="746" ht="15.75" customHeight="1" s="121"/>
    <row r="747" ht="15.75" customHeight="1" s="121"/>
    <row r="748" ht="15.75" customHeight="1" s="121"/>
    <row r="749" ht="15.75" customHeight="1" s="121"/>
    <row r="750" ht="15.75" customHeight="1" s="121"/>
    <row r="751" ht="15.75" customHeight="1" s="121"/>
    <row r="752" ht="15.75" customHeight="1" s="121"/>
    <row r="753" ht="15.75" customHeight="1" s="121"/>
    <row r="754" ht="15.75" customHeight="1" s="121"/>
    <row r="755" ht="15.75" customHeight="1" s="121"/>
    <row r="756" ht="15.75" customHeight="1" s="121"/>
    <row r="757" ht="15.75" customHeight="1" s="121"/>
    <row r="758" ht="15.75" customHeight="1" s="121"/>
    <row r="759" ht="15.75" customHeight="1" s="121"/>
    <row r="760" ht="15.75" customHeight="1" s="121"/>
    <row r="761" ht="15.75" customHeight="1" s="121"/>
    <row r="762" ht="15.75" customHeight="1" s="121"/>
    <row r="763" ht="15.75" customHeight="1" s="121"/>
    <row r="764" ht="15.75" customHeight="1" s="121"/>
    <row r="765" ht="15.75" customHeight="1" s="121"/>
    <row r="766" ht="15.75" customHeight="1" s="121"/>
    <row r="767" ht="15.75" customHeight="1" s="121"/>
    <row r="768" ht="15.75" customHeight="1" s="121"/>
    <row r="769" ht="15.75" customHeight="1" s="121"/>
    <row r="770" ht="15.75" customHeight="1" s="121"/>
    <row r="771" ht="15.75" customHeight="1" s="121"/>
    <row r="772" ht="15.75" customHeight="1" s="121"/>
    <row r="773" ht="15.75" customHeight="1" s="121"/>
    <row r="774" ht="15.75" customHeight="1" s="121"/>
    <row r="775" ht="15.75" customHeight="1" s="121"/>
    <row r="776" ht="15.75" customHeight="1" s="121"/>
    <row r="777" ht="15.75" customHeight="1" s="121"/>
    <row r="778" ht="15.75" customHeight="1" s="121"/>
    <row r="779" ht="15.75" customHeight="1" s="121"/>
    <row r="780" ht="15.75" customHeight="1" s="121"/>
    <row r="781" ht="15.75" customHeight="1" s="121"/>
    <row r="782" ht="15.75" customHeight="1" s="121"/>
    <row r="783" ht="15.75" customHeight="1" s="121"/>
    <row r="784" ht="15.75" customHeight="1" s="121"/>
    <row r="785" ht="15.75" customHeight="1" s="121"/>
    <row r="786" ht="15.75" customHeight="1" s="121"/>
    <row r="787" ht="15.75" customHeight="1" s="121"/>
    <row r="788" ht="15.75" customHeight="1" s="121"/>
    <row r="789" ht="15.75" customHeight="1" s="121"/>
    <row r="790" ht="15.75" customHeight="1" s="121"/>
    <row r="791" ht="15.75" customHeight="1" s="121"/>
    <row r="792" ht="15.75" customHeight="1" s="121"/>
    <row r="793" ht="15.75" customHeight="1" s="121"/>
    <row r="794" ht="15.75" customHeight="1" s="121"/>
    <row r="795" ht="15.75" customHeight="1" s="121"/>
    <row r="796" ht="15.75" customHeight="1" s="121"/>
    <row r="797" ht="15.75" customHeight="1" s="121"/>
    <row r="798" ht="15.75" customHeight="1" s="121"/>
    <row r="799" ht="15.75" customHeight="1" s="121"/>
    <row r="800" ht="15.75" customHeight="1" s="121"/>
    <row r="801" ht="15.75" customHeight="1" s="121"/>
    <row r="802" ht="15.75" customHeight="1" s="121"/>
    <row r="803" ht="15.75" customHeight="1" s="121"/>
    <row r="804" ht="15.75" customHeight="1" s="121"/>
    <row r="805" ht="15.75" customHeight="1" s="121"/>
    <row r="806" ht="15.75" customHeight="1" s="121"/>
    <row r="807" ht="15.75" customHeight="1" s="121"/>
    <row r="808" ht="15.75" customHeight="1" s="121"/>
    <row r="809" ht="15.75" customHeight="1" s="121"/>
    <row r="810" ht="15.75" customHeight="1" s="121"/>
    <row r="811" ht="15.75" customHeight="1" s="121"/>
    <row r="812" ht="15.75" customHeight="1" s="121"/>
    <row r="813" ht="15.75" customHeight="1" s="121"/>
    <row r="814" ht="15.75" customHeight="1" s="121"/>
    <row r="815" ht="15.75" customHeight="1" s="121"/>
    <row r="816" ht="15.75" customHeight="1" s="121"/>
    <row r="817" ht="15.75" customHeight="1" s="121"/>
    <row r="818" ht="15.75" customHeight="1" s="121"/>
    <row r="819" ht="15.75" customHeight="1" s="121"/>
    <row r="820" ht="15.75" customHeight="1" s="121"/>
    <row r="821" ht="15.75" customHeight="1" s="121"/>
    <row r="822" ht="15.75" customHeight="1" s="121"/>
    <row r="823" ht="15.75" customHeight="1" s="121"/>
    <row r="824" ht="15.75" customHeight="1" s="121"/>
    <row r="825" ht="15.75" customHeight="1" s="121"/>
    <row r="826" ht="15.75" customHeight="1" s="121"/>
    <row r="827" ht="15.75" customHeight="1" s="121"/>
    <row r="828" ht="15.75" customHeight="1" s="121"/>
    <row r="829" ht="15.75" customHeight="1" s="121"/>
    <row r="830" ht="15.75" customHeight="1" s="121"/>
    <row r="831" ht="15.75" customHeight="1" s="121"/>
    <row r="832" ht="15.75" customHeight="1" s="121"/>
    <row r="833" ht="15.75" customHeight="1" s="121"/>
    <row r="834" ht="15.75" customHeight="1" s="121"/>
    <row r="835" ht="15.75" customHeight="1" s="121"/>
    <row r="836" ht="15.75" customHeight="1" s="121"/>
    <row r="837" ht="15.75" customHeight="1" s="121"/>
    <row r="838" ht="15.75" customHeight="1" s="121"/>
    <row r="839" ht="15.75" customHeight="1" s="121"/>
    <row r="840" ht="15.75" customHeight="1" s="121"/>
    <row r="841" ht="15.75" customHeight="1" s="121"/>
    <row r="842" ht="15.75" customHeight="1" s="121"/>
    <row r="843" ht="15.75" customHeight="1" s="121"/>
    <row r="844" ht="15.75" customHeight="1" s="121"/>
    <row r="845" ht="15.75" customHeight="1" s="121"/>
    <row r="846" ht="15.75" customHeight="1" s="121"/>
    <row r="847" ht="15.75" customHeight="1" s="121"/>
    <row r="848" ht="15.75" customHeight="1" s="121"/>
    <row r="849" ht="15.75" customHeight="1" s="121"/>
    <row r="850" ht="15.75" customHeight="1" s="121"/>
    <row r="851" ht="15.75" customHeight="1" s="121"/>
    <row r="852" ht="15.75" customHeight="1" s="121"/>
    <row r="853" ht="15.75" customHeight="1" s="121"/>
    <row r="854" ht="15.75" customHeight="1" s="121"/>
    <row r="855" ht="15.75" customHeight="1" s="121"/>
    <row r="856" ht="15.75" customHeight="1" s="121"/>
    <row r="857" ht="15.75" customHeight="1" s="121"/>
    <row r="858" ht="15.75" customHeight="1" s="121"/>
    <row r="859" ht="15.75" customHeight="1" s="121"/>
    <row r="860" ht="15.75" customHeight="1" s="121"/>
    <row r="861" ht="15.75" customHeight="1" s="121"/>
    <row r="862" ht="15.75" customHeight="1" s="121"/>
    <row r="863" ht="15.75" customHeight="1" s="121"/>
    <row r="864" ht="15.75" customHeight="1" s="121"/>
    <row r="865" ht="15.75" customHeight="1" s="121"/>
    <row r="866" ht="15.75" customHeight="1" s="121"/>
    <row r="867" ht="15.75" customHeight="1" s="121"/>
    <row r="868" ht="15.75" customHeight="1" s="121"/>
    <row r="869" ht="15.75" customHeight="1" s="121"/>
    <row r="870" ht="15.75" customHeight="1" s="121"/>
    <row r="871" ht="15.75" customHeight="1" s="121"/>
    <row r="872" ht="15.75" customHeight="1" s="121"/>
    <row r="873" ht="15.75" customHeight="1" s="121"/>
    <row r="874" ht="15.75" customHeight="1" s="121"/>
    <row r="875" ht="15.75" customHeight="1" s="121"/>
    <row r="876" ht="15.75" customHeight="1" s="121"/>
    <row r="877" ht="15.75" customHeight="1" s="121"/>
    <row r="878" ht="15.75" customHeight="1" s="121"/>
    <row r="879" ht="15.75" customHeight="1" s="121"/>
    <row r="880" ht="15.75" customHeight="1" s="121"/>
    <row r="881" ht="15.75" customHeight="1" s="121"/>
    <row r="882" ht="15.75" customHeight="1" s="121"/>
    <row r="883" ht="15.75" customHeight="1" s="121"/>
    <row r="884" ht="15.75" customHeight="1" s="121"/>
    <row r="885" ht="15.75" customHeight="1" s="121"/>
    <row r="886" ht="15.75" customHeight="1" s="121"/>
    <row r="887" ht="15.75" customHeight="1" s="121"/>
    <row r="888" ht="15.75" customHeight="1" s="121"/>
    <row r="889" ht="15.75" customHeight="1" s="121"/>
    <row r="890" ht="15.75" customHeight="1" s="121"/>
    <row r="891" ht="15.75" customHeight="1" s="121"/>
    <row r="892" ht="15.75" customHeight="1" s="121"/>
    <row r="893" ht="15.75" customHeight="1" s="121"/>
    <row r="894" ht="15.75" customHeight="1" s="121"/>
    <row r="895" ht="15.75" customHeight="1" s="121"/>
    <row r="896" ht="15.75" customHeight="1" s="121"/>
    <row r="897" ht="15.75" customHeight="1" s="121"/>
    <row r="898" ht="15.75" customHeight="1" s="121"/>
    <row r="899" ht="15.75" customHeight="1" s="121"/>
    <row r="900" ht="15.75" customHeight="1" s="121"/>
    <row r="901" ht="15.75" customHeight="1" s="121"/>
    <row r="902" ht="15.75" customHeight="1" s="121"/>
    <row r="903" ht="15.75" customHeight="1" s="121"/>
    <row r="904" ht="15.75" customHeight="1" s="121"/>
    <row r="905" ht="15.75" customHeight="1" s="121"/>
    <row r="906" ht="15.75" customHeight="1" s="121"/>
    <row r="907" ht="15.75" customHeight="1" s="121"/>
    <row r="908" ht="15.75" customHeight="1" s="121"/>
    <row r="909" ht="15.75" customHeight="1" s="121"/>
    <row r="910" ht="15.75" customHeight="1" s="121"/>
    <row r="911" ht="15.75" customHeight="1" s="121"/>
    <row r="912" ht="15.75" customHeight="1" s="121"/>
    <row r="913" ht="15.75" customHeight="1" s="121"/>
    <row r="914" ht="15.75" customHeight="1" s="121"/>
    <row r="915" ht="15.75" customHeight="1" s="121"/>
    <row r="916" ht="15.75" customHeight="1" s="121"/>
    <row r="917" ht="15.75" customHeight="1" s="121"/>
    <row r="918" ht="15.75" customHeight="1" s="121"/>
    <row r="919" ht="15.75" customHeight="1" s="121"/>
    <row r="920" ht="15.75" customHeight="1" s="121"/>
    <row r="921" ht="15.75" customHeight="1" s="121"/>
    <row r="922" ht="15.75" customHeight="1" s="121"/>
    <row r="923" ht="15.75" customHeight="1" s="121"/>
    <row r="924" ht="15.75" customHeight="1" s="121"/>
    <row r="925" ht="15.75" customHeight="1" s="121"/>
    <row r="926" ht="15.75" customHeight="1" s="121"/>
    <row r="927" ht="15.75" customHeight="1" s="121"/>
    <row r="928" ht="15.75" customHeight="1" s="121"/>
    <row r="929" ht="15.75" customHeight="1" s="121"/>
    <row r="930" ht="15.75" customHeight="1" s="121"/>
    <row r="931" ht="15.75" customHeight="1" s="121"/>
    <row r="932" ht="15.75" customHeight="1" s="121"/>
    <row r="933" ht="15.75" customHeight="1" s="121"/>
    <row r="934" ht="15.75" customHeight="1" s="121"/>
    <row r="935" ht="15.75" customHeight="1" s="121"/>
    <row r="936" ht="15.75" customHeight="1" s="121"/>
    <row r="937" ht="15.75" customHeight="1" s="121"/>
    <row r="938" ht="15.75" customHeight="1" s="121"/>
    <row r="939" ht="15.75" customHeight="1" s="121"/>
    <row r="940" ht="15.75" customHeight="1" s="121"/>
    <row r="941" ht="15.75" customHeight="1" s="121"/>
    <row r="942" ht="15.75" customHeight="1" s="121"/>
    <row r="943" ht="15.75" customHeight="1" s="121"/>
    <row r="944" ht="15.75" customHeight="1" s="121"/>
    <row r="945" ht="15.75" customHeight="1" s="121"/>
    <row r="946" ht="15.75" customHeight="1" s="121"/>
    <row r="947" ht="15.75" customHeight="1" s="121"/>
    <row r="948" ht="15.75" customHeight="1" s="121"/>
    <row r="949" ht="15.75" customHeight="1" s="121"/>
    <row r="950" ht="15.75" customHeight="1" s="121"/>
    <row r="951" ht="15.75" customHeight="1" s="121"/>
    <row r="952" ht="15.75" customHeight="1" s="121"/>
    <row r="953" ht="15.75" customHeight="1" s="121"/>
    <row r="954" ht="15.75" customHeight="1" s="121"/>
    <row r="955" ht="15.75" customHeight="1" s="121"/>
    <row r="956" ht="15.75" customHeight="1" s="121"/>
    <row r="957" ht="15.75" customHeight="1" s="121"/>
    <row r="958" ht="15.75" customHeight="1" s="121"/>
    <row r="959" ht="15.75" customHeight="1" s="121"/>
    <row r="960" ht="15.75" customHeight="1" s="121"/>
    <row r="961" ht="15.75" customHeight="1" s="121"/>
    <row r="962" ht="15.75" customHeight="1" s="121"/>
    <row r="963" ht="15.75" customHeight="1" s="121"/>
    <row r="964" ht="15.75" customHeight="1" s="121"/>
    <row r="965" ht="15.75" customHeight="1" s="121"/>
    <row r="966" ht="15.75" customHeight="1" s="121"/>
    <row r="967" ht="15.75" customHeight="1" s="121"/>
    <row r="968" ht="15.75" customHeight="1" s="121"/>
    <row r="969" ht="15.75" customHeight="1" s="121"/>
    <row r="970" ht="15.75" customHeight="1" s="121"/>
    <row r="971" ht="15.75" customHeight="1" s="121"/>
    <row r="972" ht="15.75" customHeight="1" s="121"/>
    <row r="973" ht="15.75" customHeight="1" s="121"/>
    <row r="974" ht="15.75" customHeight="1" s="121"/>
    <row r="975" ht="15.75" customHeight="1" s="121"/>
    <row r="976" ht="15.75" customHeight="1" s="121"/>
    <row r="977" ht="15.75" customHeight="1" s="121"/>
    <row r="978" ht="15.75" customHeight="1" s="121"/>
    <row r="979" ht="15.75" customHeight="1" s="121"/>
    <row r="980" ht="15.75" customHeight="1" s="121"/>
    <row r="981" ht="15.75" customHeight="1" s="121"/>
    <row r="982" ht="15.75" customHeight="1" s="121"/>
    <row r="983" ht="15.75" customHeight="1" s="121"/>
    <row r="984" ht="15.75" customHeight="1" s="121"/>
    <row r="985" ht="15.75" customHeight="1" s="121"/>
    <row r="986" ht="15.75" customHeight="1" s="121"/>
    <row r="987" ht="15.75" customHeight="1" s="121"/>
    <row r="988" ht="15.75" customHeight="1" s="121"/>
    <row r="989" ht="15.75" customHeight="1" s="121"/>
    <row r="990" ht="15.75" customHeight="1" s="121"/>
    <row r="991" ht="15.75" customHeight="1" s="121"/>
    <row r="992" ht="15.75" customHeight="1" s="121"/>
    <row r="993" ht="15.75" customHeight="1" s="121"/>
  </sheetData>
  <mergeCells count="1">
    <mergeCell ref="A1:I1"/>
  </mergeCells>
  <conditionalFormatting sqref="F4:F26">
    <cfRule type="cellIs" priority="8" operator="equal" dxfId="8">
      <formula>"High"</formula>
    </cfRule>
    <cfRule type="cellIs" priority="9" operator="equal" dxfId="7">
      <formula>"Med"</formula>
    </cfRule>
    <cfRule type="cellIs" priority="10" operator="equal" dxfId="6">
      <formula>"Low"</formula>
    </cfRule>
  </conditionalFormatting>
  <conditionalFormatting sqref="I4:J26">
    <cfRule type="cellIs" priority="1" operator="equal" dxfId="5">
      <formula>"Open"</formula>
    </cfRule>
    <cfRule type="cellIs" priority="2" operator="equal" dxfId="3">
      <formula>"In Progress"</formula>
    </cfRule>
    <cfRule type="cellIs" priority="3" operator="equal" dxfId="3">
      <formula>"Waiting Customer"</formula>
    </cfRule>
    <cfRule type="cellIs" priority="4" operator="equal" dxfId="2">
      <formula>"Resolved"</formula>
    </cfRule>
    <cfRule type="cellIs" priority="5" operator="equal" dxfId="1">
      <formula>"Closed"</formula>
    </cfRule>
    <cfRule type="cellIs" priority="6" operator="equal" dxfId="0">
      <formula>"Deferred"</formula>
    </cfRule>
  </conditionalFormatting>
  <dataValidations count="3">
    <dataValidation sqref="D4:D26" showDropDown="0" showInputMessage="0" showErrorMessage="0" allowBlank="1" type="list">
      <formula1>"Menu not found,Page load error,BizID missing,Table schema issue,Data incomplete,Access denied,Legacy bug,Other"</formula1>
      <formula2>0</formula2>
    </dataValidation>
    <dataValidation sqref="F4:F26" showDropDown="0" showInputMessage="0" showErrorMessage="0" allowBlank="1" type="list">
      <formula1>"High,Med,Low"</formula1>
      <formula2>0</formula2>
    </dataValidation>
    <dataValidation sqref="I4:J26" showDropDown="0" showInputMessage="0" showErrorMessage="0" allowBlank="1" type="list">
      <formula1>"Open,In Progress,Waiting Customer,Resolved,Closed,Deferred"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2026-04-23T12:19:11Z</dcterms:created>
  <dcterms:modified xsi:type="dcterms:W3CDTF">2026-07-22T08:03:13Z</dcterms:modified>
  <cp:lastModifiedBy>DAO DUC HIEU(Hughie)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0x010100B8236CFF84288642BC3C066C244D58B3</vt:lpwstr>
  </property>
  <property name="MediaServiceImageTags" fmtid="{D5CDD505-2E9C-101B-9397-08002B2CF9AE}" pid="3">
    <vt:lpwstr/>
  </property>
</Properties>
</file>